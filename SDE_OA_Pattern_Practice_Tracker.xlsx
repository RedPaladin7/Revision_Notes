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3cd840f08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8910e23e63c4e24"/>
    <x:sheet xmlns:r="http://schemas.openxmlformats.org/officeDocument/2006/relationships" name="Question Bank" sheetId="2" r:id="Rf7b9a5df4899454e"/>
    <x:sheet xmlns:r="http://schemas.openxmlformats.org/officeDocument/2006/relationships" name="Mock Sets" sheetId="3" r:id="R2717e4062fca48c6"/>
    <x:sheet xmlns:r="http://schemas.openxmlformats.org/officeDocument/2006/relationships" name="Contest Log" sheetId="4" r:id="R03f7dc10c61f4eb7"/>
    <x:sheet xmlns:r="http://schemas.openxmlformats.org/officeDocument/2006/relationships" name="Sources" sheetId="5" r:id="R2f6ae82ef703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7">
    <x:font>
      <x:sz val="11"/>
      <x:name val="Carlito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3756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</x:fills>
  <x:borders count="13">
    <x:border/>
    <x:border>
      <x:bottom style="thin">
        <x:color rgb="FF7F8C8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4C7E7"/>
      </x:left>
      <x:right style="thin">
        <x:color rgb="FFFFFFFF"/>
      </x:right>
      <x:top style="thin">
        <x:color rgb="FFB4C7E7"/>
      </x:top>
    </x:border>
    <x:border>
      <x:left style="thin">
        <x:color rgb="FFFFFFFF"/>
      </x:left>
      <x:right style="thin">
        <x:color rgb="FFFFFFFF"/>
      </x:right>
      <x:top style="thin">
        <x:color rgb="FFB4C7E7"/>
      </x:top>
    </x:border>
    <x:border>
      <x:left style="thin">
        <x:color rgb="FFFFFFFF"/>
      </x:left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/>
    <x:xf numFmtId="20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horizontal="center" vertical="top" wrapText="1"/>
    </x:xf>
    <x:xf numFmtId="201" fontId="5" fillId="0" borderId="0" xfId="0" applyNumberFormat="1" applyFont="1" applyFill="1" applyBorder="1" applyAlignment="1">
      <x:alignment horizontal="center" vertical="top"/>
    </x:xf>
    <x:xf numFmtId="201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c5f7de14741c1" /><Relationship Type="http://schemas.openxmlformats.org/officeDocument/2006/relationships/theme" Target="/xl/theme/theme1.xml" Id="R72267bce1bb946fa" /><Relationship Type="http://schemas.openxmlformats.org/officeDocument/2006/relationships/sharedStrings" Target="/xl/sharedStrings.xml" Id="R494e6b80afc34335" /><Relationship Type="http://schemas.openxmlformats.org/officeDocument/2006/relationships/worksheet" Target="/xl/worksheets/sheet1.xml" Id="R38910e23e63c4e24" /><Relationship Type="http://schemas.openxmlformats.org/officeDocument/2006/relationships/worksheet" Target="/xl/worksheets/sheet2.xml" Id="Rf7b9a5df4899454e" /><Relationship Type="http://schemas.openxmlformats.org/officeDocument/2006/relationships/worksheet" Target="/xl/worksheets/sheet3.xml" Id="R2717e4062fca48c6" /><Relationship Type="http://schemas.openxmlformats.org/officeDocument/2006/relationships/worksheet" Target="/xl/worksheets/sheet4.xml" Id="R03f7dc10c61f4eb7" /><Relationship Type="http://schemas.openxmlformats.org/officeDocument/2006/relationships/worksheet" Target="/xl/worksheets/sheet5.xml" Id="R2f6ae82ef7034576" /></Relationships>
</file>

<file path=xl/tables/table1.xml><?xml version="1.0" encoding="utf-8"?>
<x:table xmlns:x="http://schemas.openxmlformats.org/spreadsheetml/2006/main" id="1" name="QuestionBankTable" displayName="QuestionBankTable" ref="A4:T124" headerRowCount="1" totalsRowCount="0" totalsRowShown="0">
  <x:tableColumns count="20">
    <x:tableColumn id="1" name="Rank"/>
    <x:tableColumn id="2" name="Phase"/>
    <x:tableColumn id="3" name="Priority"/>
    <x:tableColumn id="4" name="Pattern"/>
    <x:tableColumn id="5" name="Variation"/>
    <x:tableColumn id="6" name="LC #"/>
    <x:tableColumn id="7" name="Problem"/>
    <x:tableColumn id="8" name="Difficulty"/>
    <x:tableColumn id="9" name="Target min"/>
    <x:tableColumn id="10" name="Recognition cue"/>
    <x:tableColumn id="11" name="Why selected"/>
    <x:tableColumn id="12" name="Company/report signal"/>
    <x:tableColumn id="13" name="Link"/>
    <x:tableColumn id="14" name="Status"/>
    <x:tableColumn id="15" name="Attempts"/>
    <x:tableColumn id="16" name="Best min"/>
    <x:tableColumn id="17" name="Last solved"/>
    <x:tableColumn id="18" name="Confidence 1-5"/>
    <x:tableColumn id="19" name="Mistake / note"/>
    <x:tableColumn id="20" name="Next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stLogTable" displayName="ContestLogTable" ref="A4:M34" headerRowCount="1" totalsRowCount="0" totalsRowShown="0">
  <x:tableColumns count="13">
    <x:tableColumn id="1" name="Date"/>
    <x:tableColumn id="2" name="Contest"/>
    <x:tableColumn id="3" name="Rank"/>
    <x:tableColumn id="4" name="Solved"/>
    <x:tableColumn id="5" name="Penalty / wrong submissions"/>
    <x:tableColumn id="6" name="Q1 result"/>
    <x:tableColumn id="7" name="Q2 result"/>
    <x:tableColumn id="8" name="Q3 result"/>
    <x:tableColumn id="9" name="Q4 result"/>
    <x:tableColumn id="10" name="Main failure mode"/>
    <x:tableColumn id="11" name="Pattern to revise"/>
    <x:tableColumn id="12" name="Upsolved by"/>
    <x:tableColumn id="13" name="48h complete?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7c7c173d1e42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5eaa104d0eb4be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>
      <x:c r="A2" s="2" t="str">
        <x:v>SDE OA Pattern Practice Tracker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8"/>
      <x:c r="J3" s="38"/>
    </x:row>
    <x:row r="4">
      <x:c r="A4" s="38"/>
      <x:c r="B4" s="38"/>
      <x:c r="C4" s="38"/>
      <x:c r="D4" s="38"/>
      <x:c r="E4" s="38"/>
      <x:c r="F4" s="38"/>
      <x:c r="G4" s="38"/>
      <x:c r="H4" s="38"/>
      <x:c r="I4" s="38"/>
      <x:c r="J4" s="38"/>
    </x:row>
    <x:row r="5">
      <x:c r="A5" s="6" t="str">
        <x:v>Total questions</x:v>
      </x:c>
      <x:c r="B5" s="6" t="str"/>
      <x:c r="C5" s="6" t="str">
        <x:v>Solved</x:v>
      </x:c>
      <x:c r="D5" s="6" t="str"/>
      <x:c r="E5" s="6" t="str">
        <x:v>Needs review</x:v>
      </x:c>
      <x:c r="F5" s="6" t="str"/>
      <x:c r="G5" s="6" t="str">
        <x:v>Due for revision</x:v>
      </x:c>
      <x:c r="H5" s="6" t="str"/>
      <x:c r="I5" s="38"/>
      <x:c r="J5" s="38"/>
    </x:row>
    <x:row r="6">
      <x:c r="A6" s="40" t="n">
        <x:f>COUNTA('Question Bank'!$G$5:$G$124)</x:f>
        <x:v>120</x:v>
      </x:c>
      <x:c r="B6" s="40"/>
      <x:c r="C6" s="40" t="n">
        <x:f>COUNTIF('Question Bank'!$N$5:$N$124,"Solved")</x:f>
        <x:v>0</x:v>
      </x:c>
      <x:c r="D6" s="40"/>
      <x:c r="E6" s="40" t="n">
        <x:f>COUNTIF('Question Bank'!$N$5:$N$124,"Review")</x:f>
        <x:v>0</x:v>
      </x:c>
      <x:c r="F6" s="40"/>
      <x:c r="G6" s="40" t="n">
        <x:f>COUNTIFS('Question Bank'!$T$5:$T$124,"&lt;="&amp;TODAY(),'Question Bank'!$T$5:$T$124,"&gt;0")</x:f>
        <x:v>0</x:v>
      </x:c>
      <x:c r="H6" s="40"/>
      <x:c r="I6" s="38"/>
      <x:c r="J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>
      <x:c r="A9" s="25" t="str">
        <x:v>Pattern</x:v>
      </x:c>
      <x:c r="B9" s="26" t="str">
        <x:v>Total</x:v>
      </x:c>
      <x:c r="C9" s="26" t="str">
        <x:v>Solved</x:v>
      </x:c>
      <x:c r="D9" s="27" t="str">
        <x:v>Completion</x:v>
      </x:c>
      <x:c r="E9" s="38"/>
      <x:c r="F9" s="20" t="str">
        <x:v>How to use the bank</x:v>
      </x:c>
      <x:c r="G9" s="21" t="str"/>
      <x:c r="H9" s="21" t="str"/>
      <x:c r="I9" s="21" t="str"/>
      <x:c r="J9" s="22" t="str"/>
    </x:row>
    <x:row r="10" ht="28" customHeight="1">
      <x:c r="A10" s="41" t="str">
        <x:v>Arrays &amp; Hashing</x:v>
      </x:c>
      <x:c r="B10" s="42" t="n">
        <x:f>COUNTIF('Question Bank'!$D$5:$D$124,A10)</x:f>
        <x:v>8</x:v>
      </x:c>
      <x:c r="C10" s="42" t="n">
        <x:f>COUNTIFS('Question Bank'!$D$5:$D$124,A10,'Question Bank'!$N$5:$N$124,"Solved")</x:f>
        <x:v>0</x:v>
      </x:c>
      <x:c r="D10" s="43" t="n">
        <x:f>IF(B10=0,"",C10/B10)</x:f>
        <x:v>0</x:v>
      </x:c>
      <x:c r="E10" s="38"/>
      <x:c r="F10" s="44" t="str">
        <x:v>1. Start with Phase 1 Core. Attempt unseen or from a blank editor.</x:v>
      </x:c>
      <x:c r="G10" s="44" t="str"/>
      <x:c r="H10" s="44" t="str"/>
      <x:c r="I10" s="44" t="str"/>
      <x:c r="J10" s="44" t="str"/>
    </x:row>
    <x:row r="11" ht="28" customHeight="1">
      <x:c r="A11" s="41" t="str">
        <x:v>Two Pointers</x:v>
      </x:c>
      <x:c r="B11" s="42" t="n">
        <x:f>COUNTIF('Question Bank'!$D$5:$D$124,A11)</x:f>
        <x:v>6</x:v>
      </x:c>
      <x:c r="C11" s="42" t="n">
        <x:f>COUNTIFS('Question Bank'!$D$5:$D$124,A11,'Question Bank'!$N$5:$N$124,"Solved")</x:f>
        <x:v>0</x:v>
      </x:c>
      <x:c r="D11" s="43" t="n">
        <x:f>IF(B11=0,"",C11/B11)</x:f>
        <x:v>0</x:v>
      </x:c>
      <x:c r="E11" s="38"/>
      <x:c r="F11" s="44" t="str">
        <x:v>2. Use the target time as a hard stop. Mark Review if you needed a hint, had a wrong approach, or exceeded time.</x:v>
      </x:c>
      <x:c r="G11" s="44" t="str"/>
      <x:c r="H11" s="44" t="str"/>
      <x:c r="I11" s="44" t="str"/>
      <x:c r="J11" s="44" t="str"/>
    </x:row>
    <x:row r="12" ht="28" customHeight="1">
      <x:c r="A12" s="41" t="str">
        <x:v>Sliding Window</x:v>
      </x:c>
      <x:c r="B12" s="42" t="n">
        <x:f>COUNTIF('Question Bank'!$D$5:$D$124,A12)</x:f>
        <x:v>7</x:v>
      </x:c>
      <x:c r="C12" s="42" t="n">
        <x:f>COUNTIFS('Question Bank'!$D$5:$D$124,A12,'Question Bank'!$N$5:$N$124,"Solved")</x:f>
        <x:v>0</x:v>
      </x:c>
      <x:c r="D12" s="43" t="n">
        <x:f>IF(B12=0,"",C12/B12)</x:f>
        <x:v>0</x:v>
      </x:c>
      <x:c r="E12" s="38"/>
      <x:c r="F12" s="44" t="str">
        <x:v>3. Reattempt Review items before adding random new questions.</x:v>
      </x:c>
      <x:c r="G12" s="44" t="str"/>
      <x:c r="H12" s="44" t="str"/>
      <x:c r="I12" s="44" t="str"/>
      <x:c r="J12" s="44" t="str"/>
    </x:row>
    <x:row r="13" ht="28" customHeight="1">
      <x:c r="A13" s="41" t="str">
        <x:v>Prefix Sum &amp; Difference</x:v>
      </x:c>
      <x:c r="B13" s="42" t="n">
        <x:f>COUNTIF('Question Bank'!$D$5:$D$124,A13)</x:f>
        <x:v>5</x:v>
      </x:c>
      <x:c r="C13" s="42" t="n">
        <x:f>COUNTIFS('Question Bank'!$D$5:$D$124,A13,'Question Bank'!$N$5:$N$124,"Solved")</x:f>
        <x:v>0</x:v>
      </x:c>
      <x:c r="D13" s="43" t="n">
        <x:f>IF(B13=0,"",C13/B13)</x:f>
        <x:v>0</x:v>
      </x:c>
      <x:c r="E13" s="38"/>
      <x:c r="F13" s="44" t="str">
        <x:v>4. Complete two Mock Sets each week under a single 75-minute timer.</x:v>
      </x:c>
      <x:c r="G13" s="44" t="str"/>
      <x:c r="H13" s="44" t="str"/>
      <x:c r="I13" s="44" t="str"/>
      <x:c r="J13" s="44" t="str"/>
    </x:row>
    <x:row r="14" ht="28" customHeight="1">
      <x:c r="A14" s="41" t="str">
        <x:v>Binary Search</x:v>
      </x:c>
      <x:c r="B14" s="42" t="n">
        <x:f>COUNTIF('Question Bank'!$D$5:$D$124,A14)</x:f>
        <x:v>8</x:v>
      </x:c>
      <x:c r="C14" s="42" t="n">
        <x:f>COUNTIFS('Question Bank'!$D$5:$D$124,A14,'Question Bank'!$N$5:$N$124,"Solved")</x:f>
        <x:v>0</x:v>
      </x:c>
      <x:c r="D14" s="43" t="n">
        <x:f>IF(B14=0,"",C14/B14)</x:f>
        <x:v>0</x:v>
      </x:c>
      <x:c r="E14" s="38"/>
      <x:c r="F14" s="44" t="str">
        <x:v>5. Take LeetCode contests as unseen diagnostics. Upsolve every failed Q1-Q3 within 48 hours.</x:v>
      </x:c>
      <x:c r="G14" s="44" t="str"/>
      <x:c r="H14" s="44" t="str"/>
      <x:c r="I14" s="44" t="str"/>
      <x:c r="J14" s="44" t="str"/>
    </x:row>
    <x:row r="15" ht="28" customHeight="1">
      <x:c r="A15" s="41" t="str">
        <x:v>Intervals &amp; Scheduling</x:v>
      </x:c>
      <x:c r="B15" s="42" t="n">
        <x:f>COUNTIF('Question Bank'!$D$5:$D$124,A15)</x:f>
        <x:v>6</x:v>
      </x:c>
      <x:c r="C15" s="42" t="n">
        <x:f>COUNTIFS('Question Bank'!$D$5:$D$124,A15,'Question Bank'!$N$5:$N$124,"Solved")</x:f>
        <x:v>0</x:v>
      </x:c>
      <x:c r="D15" s="43" t="n">
        <x:f>IF(B15=0,"",C15/B15)</x:f>
        <x:v>0</x:v>
      </x:c>
      <x:c r="E15" s="38"/>
      <x:c r="F15" s="44" t="str">
        <x:v>6. Move to Phase 2 when at least 80% of Phase 1 is solved within target time.</x:v>
      </x:c>
      <x:c r="G15" s="44" t="str"/>
      <x:c r="H15" s="44" t="str"/>
      <x:c r="I15" s="44" t="str"/>
      <x:c r="J15" s="44" t="str"/>
    </x:row>
    <x:row r="16" ht="28" customHeight="1">
      <x:c r="A16" s="41" t="str">
        <x:v>Stack &amp; Monotonic</x:v>
      </x:c>
      <x:c r="B16" s="42" t="n">
        <x:f>COUNTIF('Question Bank'!$D$5:$D$124,A16)</x:f>
        <x:v>7</x:v>
      </x:c>
      <x:c r="C16" s="42" t="n">
        <x:f>COUNTIFS('Question Bank'!$D$5:$D$124,A16,'Question Bank'!$N$5:$N$124,"Solved")</x:f>
        <x:v>0</x:v>
      </x:c>
      <x:c r="D16" s="43" t="n">
        <x:f>IF(B16=0,"",C16/B16)</x:f>
        <x:v>0</x:v>
      </x:c>
      <x:c r="E16" s="38"/>
      <x:c r="F16" s="44" t="str">
        <x:v>7. Use Phase 3 selectively for companies known to run harder screens.</x:v>
      </x:c>
      <x:c r="G16" s="44" t="str"/>
      <x:c r="H16" s="44" t="str"/>
      <x:c r="I16" s="44" t="str"/>
      <x:c r="J16" s="44" t="str"/>
    </x:row>
    <x:row r="17" ht="28" customHeight="1">
      <x:c r="A17" s="41" t="str">
        <x:v>Heap &amp; Greedy</x:v>
      </x:c>
      <x:c r="B17" s="42" t="n">
        <x:f>COUNTIF('Question Bank'!$D$5:$D$124,A17)</x:f>
        <x:v>8</x:v>
      </x:c>
      <x:c r="C17" s="42" t="n">
        <x:f>COUNTIFS('Question Bank'!$D$5:$D$124,A17,'Question Bank'!$N$5:$N$124,"Solved")</x:f>
        <x:v>0</x:v>
      </x:c>
      <x:c r="D17" s="43" t="n">
        <x:f>IF(B17=0,"",C17/B17)</x:f>
        <x:v>0</x:v>
      </x:c>
      <x:c r="E17" s="38"/>
      <x:c r="F17" s="44" t="str">
        <x:v>Evidence labels: 'Reported' means a close candidate report; 'Directional' means pattern-level relevance, not proof of an exact repeat.</x:v>
      </x:c>
      <x:c r="G17" s="44" t="str"/>
      <x:c r="H17" s="44" t="str"/>
      <x:c r="I17" s="44" t="str"/>
      <x:c r="J17" s="44" t="str"/>
    </x:row>
    <x:row r="18">
      <x:c r="A18" s="41" t="str">
        <x:v>Linked List &amp; Design</x:v>
      </x:c>
      <x:c r="B18" s="42" t="n">
        <x:f>COUNTIF('Question Bank'!$D$5:$D$124,A18)</x:f>
        <x:v>6</x:v>
      </x:c>
      <x:c r="C18" s="42" t="n">
        <x:f>COUNTIFS('Question Bank'!$D$5:$D$124,A18,'Question Bank'!$N$5:$N$124,"Solved")</x:f>
        <x:v>0</x:v>
      </x:c>
      <x:c r="D18" s="43" t="n">
        <x:f>IF(B18=0,"",C18/B18)</x:f>
        <x:v>0</x:v>
      </x:c>
      <x:c r="E18" s="38"/>
      <x:c r="F18" s="38"/>
      <x:c r="G18" s="38"/>
      <x:c r="H18" s="38"/>
      <x:c r="I18" s="38"/>
      <x:c r="J18" s="38"/>
    </x:row>
    <x:row r="19">
      <x:c r="A19" s="41" t="str">
        <x:v>Trees &amp; BST</x:v>
      </x:c>
      <x:c r="B19" s="42" t="n">
        <x:f>COUNTIF('Question Bank'!$D$5:$D$124,A19)</x:f>
        <x:v>10</x:v>
      </x:c>
      <x:c r="C19" s="42" t="n">
        <x:f>COUNTIFS('Question Bank'!$D$5:$D$124,A19,'Question Bank'!$N$5:$N$124,"Solved")</x:f>
        <x:v>0</x:v>
      </x:c>
      <x:c r="D19" s="43" t="n">
        <x:f>IF(B19=0,"",C19/B19)</x:f>
        <x:v>0</x:v>
      </x:c>
      <x:c r="E19" s="38"/>
      <x:c r="F19" s="38"/>
      <x:c r="G19" s="38"/>
      <x:c r="H19" s="38"/>
      <x:c r="I19" s="38"/>
      <x:c r="J19" s="38"/>
    </x:row>
    <x:row r="20">
      <x:c r="A20" s="41" t="str">
        <x:v>Graphs</x:v>
      </x:c>
      <x:c r="B20" s="42" t="n">
        <x:f>COUNTIF('Question Bank'!$D$5:$D$124,A20)</x:f>
        <x:v>14</x:v>
      </x:c>
      <x:c r="C20" s="42" t="n">
        <x:f>COUNTIFS('Question Bank'!$D$5:$D$124,A20,'Question Bank'!$N$5:$N$124,"Solved")</x:f>
        <x:v>0</x:v>
      </x:c>
      <x:c r="D20" s="43" t="n">
        <x:f>IF(B20=0,"",C20/B20)</x:f>
        <x:v>0</x:v>
      </x:c>
      <x:c r="E20" s="38"/>
      <x:c r="F20" s="38"/>
      <x:c r="G20" s="38"/>
      <x:c r="H20" s="38"/>
      <x:c r="I20" s="38"/>
      <x:c r="J20" s="38"/>
    </x:row>
    <x:row r="21">
      <x:c r="A21" s="41" t="str">
        <x:v>Backtracking</x:v>
      </x:c>
      <x:c r="B21" s="42" t="n">
        <x:f>COUNTIF('Question Bank'!$D$5:$D$124,A21)</x:f>
        <x:v>6</x:v>
      </x:c>
      <x:c r="C21" s="42" t="n">
        <x:f>COUNTIFS('Question Bank'!$D$5:$D$124,A21,'Question Bank'!$N$5:$N$124,"Solved")</x:f>
        <x:v>0</x:v>
      </x:c>
      <x:c r="D21" s="43" t="n">
        <x:f>IF(B21=0,"",C21/B21)</x:f>
        <x:v>0</x:v>
      </x:c>
      <x:c r="E21" s="38"/>
      <x:c r="F21" s="38"/>
      <x:c r="G21" s="38"/>
      <x:c r="H21" s="38"/>
      <x:c r="I21" s="38"/>
      <x:c r="J21" s="38"/>
    </x:row>
    <x:row r="22">
      <x:c r="A22" s="41" t="str">
        <x:v>Dynamic Programming</x:v>
      </x:c>
      <x:c r="B22" s="42" t="n">
        <x:f>COUNTIF('Question Bank'!$D$5:$D$124,A22)</x:f>
        <x:v>16</x:v>
      </x:c>
      <x:c r="C22" s="42" t="n">
        <x:f>COUNTIFS('Question Bank'!$D$5:$D$124,A22,'Question Bank'!$N$5:$N$124,"Solved")</x:f>
        <x:v>0</x:v>
      </x:c>
      <x:c r="D22" s="43" t="n">
        <x:f>IF(B22=0,"",C22/B22)</x:f>
        <x:v>0</x:v>
      </x:c>
      <x:c r="E22" s="38"/>
      <x:c r="F22" s="38"/>
      <x:c r="G22" s="38"/>
      <x:c r="H22" s="38"/>
      <x:c r="I22" s="38"/>
      <x:c r="J22" s="38"/>
    </x:row>
    <x:row r="23">
      <x:c r="A23" s="41" t="str">
        <x:v>Trie &amp; String</x:v>
      </x:c>
      <x:c r="B23" s="42" t="n">
        <x:f>COUNTIF('Question Bank'!$D$5:$D$124,A23)</x:f>
        <x:v>5</x:v>
      </x:c>
      <x:c r="C23" s="42" t="n">
        <x:f>COUNTIFS('Question Bank'!$D$5:$D$124,A23,'Question Bank'!$N$5:$N$124,"Solved")</x:f>
        <x:v>0</x:v>
      </x:c>
      <x:c r="D23" s="43" t="n">
        <x:f>IF(B23=0,"",C23/B23)</x:f>
        <x:v>0</x:v>
      </x:c>
      <x:c r="E23" s="38"/>
      <x:c r="F23" s="38"/>
      <x:c r="G23" s="38"/>
      <x:c r="H23" s="38"/>
      <x:c r="I23" s="38"/>
      <x:c r="J23" s="38"/>
    </x:row>
    <x:row r="24">
      <x:c r="A24" s="45" t="str">
        <x:v>Bit, Math &amp; Combinatorics</x:v>
      </x:c>
      <x:c r="B24" s="46" t="n">
        <x:f>COUNTIF('Question Bank'!$D$5:$D$124,A24)</x:f>
        <x:v>8</x:v>
      </x:c>
      <x:c r="C24" s="46" t="n">
        <x:f>COUNTIFS('Question Bank'!$D$5:$D$124,A24,'Question Bank'!$N$5:$N$124,"Solved")</x:f>
        <x:v>0</x:v>
      </x:c>
      <x:c r="D24" s="47" t="n">
        <x:f>IF(B24=0,"",C24/B24)</x:f>
        <x:v>0</x:v>
      </x:c>
      <x:c r="E24" s="38"/>
      <x:c r="F24" s="38"/>
      <x:c r="G24" s="38"/>
      <x:c r="H24" s="38"/>
      <x:c r="I24" s="38"/>
      <x:c r="J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</x:row>
    <x:row r="27" ht="34" customHeight="1">
      <x:c r="A27" s="48" t="str">
        <x:v>Recommended weekly rhythm: 2 timed mocks + 1 contest + 2 targeted revision sessions. Contest upsolves replace random new-problem volume.</x:v>
      </x:c>
      <x:c r="B27" s="48" t="str"/>
      <x:c r="C27" s="48" t="str"/>
      <x:c r="D27" s="48" t="str"/>
      <x:c r="E27" s="48" t="str"/>
      <x:c r="F27" s="48" t="str"/>
      <x:c r="G27" s="48" t="str"/>
      <x:c r="H27" s="48" t="str"/>
      <x:c r="I27" s="48" t="str"/>
      <x:c r="J27" s="48" t="str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</x:row>
  </x:sheetData>
  <x:mergeCells>
    <x:mergeCell ref="F10:J10"/>
    <x:mergeCell ref="F11:J11"/>
    <x:mergeCell ref="F12:J12"/>
    <x:mergeCell ref="F13:J13"/>
    <x:mergeCell ref="F14:J14"/>
    <x:mergeCell ref="F15:J15"/>
    <x:mergeCell ref="F16:J16"/>
    <x:mergeCell ref="F17:J17"/>
    <x:mergeCell ref="A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12" hidden="0" customWidth="1"/>
    <x:col min="3" max="3" width="9" hidden="0" customWidth="1"/>
    <x:col min="4" max="4" width="25" hidden="0" customWidth="1"/>
    <x:col min="5" max="5" width="29" hidden="0" customWidth="1"/>
    <x:col min="6" max="6" width="7" hidden="0" customWidth="1"/>
    <x:col min="7" max="7" width="38" hidden="0" customWidth="1"/>
    <x:col min="8" max="8" width="10" hidden="0" customWidth="1"/>
    <x:col min="9" max="9" width="10" hidden="0" customWidth="1"/>
    <x:col min="10" max="10" width="48" hidden="0" customWidth="1"/>
    <x:col min="11" max="11" width="45" hidden="0" customWidth="1"/>
    <x:col min="12" max="12" width="50" hidden="0" customWidth="1"/>
    <x:col min="13" max="13" width="46" hidden="0" customWidth="1"/>
    <x:col min="14" max="14" width="13" hidden="0" customWidth="1"/>
    <x:col min="15" max="15" width="10" hidden="0" customWidth="1"/>
    <x:col min="16" max="16" width="10" hidden="0" customWidth="1"/>
    <x:col min="17" max="17" width="13" hidden="0" customWidth="1"/>
    <x:col min="18" max="18" width="14" hidden="0" customWidth="1"/>
    <x:col min="19" max="19" width="42" hidden="0" customWidth="1"/>
    <x:col min="20" max="20" width="13" hidden="0" customWidth="1"/>
  </x:cols>
  <x:sheetData>
    <x:row r="2">
      <x:c r="A2" s="2" t="str">
        <x:v>Curated 120-question OA bank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35" customHeight="1">
      <x:c r="A4" s="20" t="str">
        <x:v>Rank</x:v>
      </x:c>
      <x:c r="B4" s="21" t="str">
        <x:v>Phase</x:v>
      </x:c>
      <x:c r="C4" s="21" t="str">
        <x:v>Priority</x:v>
      </x:c>
      <x:c r="D4" s="21" t="str">
        <x:v>Pattern</x:v>
      </x:c>
      <x:c r="E4" s="21" t="str">
        <x:v>Variation</x:v>
      </x:c>
      <x:c r="F4" s="21" t="str">
        <x:v>LC #</x:v>
      </x:c>
      <x:c r="G4" s="21" t="str">
        <x:v>Problem</x:v>
      </x:c>
      <x:c r="H4" s="21" t="str">
        <x:v>Difficulty</x:v>
      </x:c>
      <x:c r="I4" s="21" t="str">
        <x:v>Target min</x:v>
      </x:c>
      <x:c r="J4" s="21" t="str">
        <x:v>Recognition cue</x:v>
      </x:c>
      <x:c r="K4" s="21" t="str">
        <x:v>Why selected</x:v>
      </x:c>
      <x:c r="L4" s="21" t="str">
        <x:v>Company/report signal</x:v>
      </x:c>
      <x:c r="M4" s="21" t="str">
        <x:v>Link</x:v>
      </x:c>
      <x:c r="N4" s="21" t="str">
        <x:v>Status</x:v>
      </x:c>
      <x:c r="O4" s="21" t="str">
        <x:v>Attempts</x:v>
      </x:c>
      <x:c r="P4" s="21" t="str">
        <x:v>Best min</x:v>
      </x:c>
      <x:c r="Q4" s="21" t="str">
        <x:v>Last solved</x:v>
      </x:c>
      <x:c r="R4" s="21" t="str">
        <x:v>Confidence 1-5</x:v>
      </x:c>
      <x:c r="S4" s="21" t="str">
        <x:v>Mistake / note</x:v>
      </x:c>
      <x:c r="T4" s="22" t="str">
        <x:v>Next review</x:v>
      </x:c>
    </x:row>
    <x:row r="5" ht="46" customHeight="1">
      <x:c r="A5" s="51" t="n">
        <x:v>1</x:v>
      </x:c>
      <x:c r="B5" s="51" t="str">
        <x:v>1 - Core</x:v>
      </x:c>
      <x:c r="C5" s="51" t="str">
        <x:v>P0</x:v>
      </x:c>
      <x:c r="D5" s="34" t="str">
        <x:v>Arrays &amp; Hashing</x:v>
      </x:c>
      <x:c r="E5" s="34" t="str">
        <x:v>Frequency map / canonical key</x:v>
      </x:c>
      <x:c r="F5" s="51" t="n">
        <x:v>49</x:v>
      </x:c>
      <x:c r="G5" s="52" t="str">
        <x:v>Group Anagrams</x:v>
      </x:c>
      <x:c r="H5" s="52" t="str">
        <x:v>Medium</x:v>
      </x:c>
      <x:c r="I5" s="52" t="n">
        <x:v>27</x:v>
      </x:c>
      <x:c r="J5" s="34" t="str">
        <x:v>Order irrelevant; group by a stable signature</x:v>
      </x:c>
      <x:c r="K5" s="34" t="str">
        <x:v>Builds O(n) state-design and edge-case discipline.</x:v>
      </x:c>
      <x:c r="L5" s="34" t="str">
        <x:v>Directional company-pattern signal: Amazon, Microsoft, Google, Meta, Adobe</x:v>
      </x:c>
      <x:c r="M5" s="49" t="str">
        <x:v>https://leetcode.com/problems/group-anagrams/</x:v>
      </x:c>
      <x:c r="N5" s="51" t="str">
        <x:v>Not started</x:v>
      </x:c>
      <x:c r="O5" s="51" t="n">
        <x:v>0</x:v>
      </x:c>
      <x:c r="P5" s="51"/>
      <x:c r="Q5" s="53"/>
      <x:c r="R5" s="51"/>
      <x:c r="S5" s="34" t="str"/>
      <x:c r="T5" s="53" t="str">
        <x:f>IF(OR(Q5="",R5=""),"",Q5+IF(R5=1,1,IF(R5=2,3,IF(R5=3,7,IF(R5=4,14,30)))))</x:f>
      </x:c>
    </x:row>
    <x:row r="6" ht="46" customHeight="1">
      <x:c r="A6" s="51" t="n">
        <x:v>2</x:v>
      </x:c>
      <x:c r="B6" s="51" t="str">
        <x:v>1 - Core</x:v>
      </x:c>
      <x:c r="C6" s="51" t="str">
        <x:v>P0</x:v>
      </x:c>
      <x:c r="D6" s="34" t="str">
        <x:v>Arrays &amp; Hashing</x:v>
      </x:c>
      <x:c r="E6" s="34" t="str">
        <x:v>Prefix/suffix products</x:v>
      </x:c>
      <x:c r="F6" s="51" t="n">
        <x:v>238</x:v>
      </x:c>
      <x:c r="G6" s="52" t="str">
        <x:v>Product of Array Except Self</x:v>
      </x:c>
      <x:c r="H6" s="52" t="str">
        <x:v>Medium</x:v>
      </x:c>
      <x:c r="I6" s="52" t="n">
        <x:v>27</x:v>
      </x:c>
      <x:c r="J6" s="34" t="str">
        <x:v>Each answer needs everything except the current index</x:v>
      </x:c>
      <x:c r="K6" s="34" t="str">
        <x:v>Builds O(n) state-design and edge-case discipline.</x:v>
      </x:c>
      <x:c r="L6" s="34" t="str">
        <x:v>Directional company-pattern signal: Amazon, Microsoft, Google, Meta, Adobe</x:v>
      </x:c>
      <x:c r="M6" s="49" t="str">
        <x:v>https://leetcode.com/problems/product-of-array-except-self/</x:v>
      </x:c>
      <x:c r="N6" s="51" t="str">
        <x:v>Not started</x:v>
      </x:c>
      <x:c r="O6" s="51" t="n">
        <x:v>0</x:v>
      </x:c>
      <x:c r="P6" s="51"/>
      <x:c r="Q6" s="53"/>
      <x:c r="R6" s="51"/>
      <x:c r="S6" s="34" t="str"/>
      <x:c r="T6" s="53" t="str">
        <x:f>IF(OR(Q6="",R6=""),"",Q6+IF(R6=1,1,IF(R6=2,3,IF(R6=3,7,IF(R6=4,14,30)))))</x:f>
      </x:c>
    </x:row>
    <x:row r="7" ht="46" customHeight="1">
      <x:c r="A7" s="51" t="n">
        <x:v>3</x:v>
      </x:c>
      <x:c r="B7" s="51" t="str">
        <x:v>1 - Core</x:v>
      </x:c>
      <x:c r="C7" s="51" t="str">
        <x:v>P0</x:v>
      </x:c>
      <x:c r="D7" s="34" t="str">
        <x:v>Arrays &amp; Hashing</x:v>
      </x:c>
      <x:c r="E7" s="34" t="str">
        <x:v>Hash-set sequence starts</x:v>
      </x:c>
      <x:c r="F7" s="51" t="n">
        <x:v>128</x:v>
      </x:c>
      <x:c r="G7" s="52" t="str">
        <x:v>Longest Consecutive Sequence</x:v>
      </x:c>
      <x:c r="H7" s="52" t="str">
        <x:v>Medium</x:v>
      </x:c>
      <x:c r="I7" s="52" t="n">
        <x:v>27</x:v>
      </x:c>
      <x:c r="J7" s="34" t="str">
        <x:v>Only expand from values with no predecessor</x:v>
      </x:c>
      <x:c r="K7" s="34" t="str">
        <x:v>Builds O(n) state-design and edge-case discipline.</x:v>
      </x:c>
      <x:c r="L7" s="34" t="str">
        <x:v>Directional company-pattern signal: Amazon, Microsoft, Google, Meta, Adobe</x:v>
      </x:c>
      <x:c r="M7" s="49" t="str">
        <x:v>https://leetcode.com/problems/longest-consecutive-sequence/</x:v>
      </x:c>
      <x:c r="N7" s="51" t="str">
        <x:v>Not started</x:v>
      </x:c>
      <x:c r="O7" s="51" t="n">
        <x:v>0</x:v>
      </x:c>
      <x:c r="P7" s="51"/>
      <x:c r="Q7" s="53"/>
      <x:c r="R7" s="51"/>
      <x:c r="S7" s="34" t="str"/>
      <x:c r="T7" s="53" t="str">
        <x:f>IF(OR(Q7="",R7=""),"",Q7+IF(R7=1,1,IF(R7=2,3,IF(R7=3,7,IF(R7=4,14,30)))))</x:f>
      </x:c>
    </x:row>
    <x:row r="8" ht="46" customHeight="1">
      <x:c r="A8" s="51" t="n">
        <x:v>4</x:v>
      </x:c>
      <x:c r="B8" s="51" t="str">
        <x:v>1 - Core</x:v>
      </x:c>
      <x:c r="C8" s="51" t="str">
        <x:v>P0</x:v>
      </x:c>
      <x:c r="D8" s="34" t="str">
        <x:v>Arrays &amp; Hashing</x:v>
      </x:c>
      <x:c r="E8" s="34" t="str">
        <x:v>Prefix sum + frequency</x:v>
      </x:c>
      <x:c r="F8" s="51" t="n">
        <x:v>560</x:v>
      </x:c>
      <x:c r="G8" s="52" t="str">
        <x:v>Subarray Sum Equals K</x:v>
      </x:c>
      <x:c r="H8" s="52" t="str">
        <x:v>Medium</x:v>
      </x:c>
      <x:c r="I8" s="52" t="n">
        <x:v>27</x:v>
      </x:c>
      <x:c r="J8" s="34" t="str">
        <x:v>Count earlier prefix sums equal to current minus k</x:v>
      </x:c>
      <x:c r="K8" s="34" t="str">
        <x:v>Builds O(n) state-design and edge-case discipline.</x:v>
      </x:c>
      <x:c r="L8" s="34" t="str">
        <x:v>Directional company-pattern signal: Amazon, Microsoft, Google, Meta, Adobe</x:v>
      </x:c>
      <x:c r="M8" s="49" t="str">
        <x:v>https://leetcode.com/problems/subarray-sum-equals-k/</x:v>
      </x:c>
      <x:c r="N8" s="51" t="str">
        <x:v>Not started</x:v>
      </x:c>
      <x:c r="O8" s="51" t="n">
        <x:v>0</x:v>
      </x:c>
      <x:c r="P8" s="51"/>
      <x:c r="Q8" s="53"/>
      <x:c r="R8" s="51"/>
      <x:c r="S8" s="34" t="str"/>
      <x:c r="T8" s="53" t="str">
        <x:f>IF(OR(Q8="",R8=""),"",Q8+IF(R8=1,1,IF(R8=2,3,IF(R8=3,7,IF(R8=4,14,30)))))</x:f>
      </x:c>
    </x:row>
    <x:row r="9" ht="46" customHeight="1">
      <x:c r="A9" s="51" t="n">
        <x:v>5</x:v>
      </x:c>
      <x:c r="B9" s="51" t="str">
        <x:v>3 - Stretch</x:v>
      </x:c>
      <x:c r="C9" s="51" t="str">
        <x:v>P2</x:v>
      </x:c>
      <x:c r="D9" s="34" t="str">
        <x:v>Arrays &amp; Hashing</x:v>
      </x:c>
      <x:c r="E9" s="34" t="str">
        <x:v>In-place index placement</x:v>
      </x:c>
      <x:c r="F9" s="51" t="n">
        <x:v>41</x:v>
      </x:c>
      <x:c r="G9" s="52" t="str">
        <x:v>First Missing Positive</x:v>
      </x:c>
      <x:c r="H9" s="52" t="str">
        <x:v>Hard</x:v>
      </x:c>
      <x:c r="I9" s="52" t="n">
        <x:v>42</x:v>
      </x:c>
      <x:c r="J9" s="34" t="str">
        <x:v>Values 1..n belong at indices 0..n-1</x:v>
      </x:c>
      <x:c r="K9" s="34" t="str">
        <x:v>Builds O(n) state-design and edge-case discipline.</x:v>
      </x:c>
      <x:c r="L9" s="34" t="str">
        <x:v>Directional company-pattern signal: Amazon, Microsoft, Google, Meta, Adobe</x:v>
      </x:c>
      <x:c r="M9" s="49" t="str">
        <x:v>https://leetcode.com/problems/first-missing-positive/</x:v>
      </x:c>
      <x:c r="N9" s="51" t="str">
        <x:v>Not started</x:v>
      </x:c>
      <x:c r="O9" s="51" t="n">
        <x:v>0</x:v>
      </x:c>
      <x:c r="P9" s="51"/>
      <x:c r="Q9" s="53"/>
      <x:c r="R9" s="51"/>
      <x:c r="S9" s="34" t="str"/>
      <x:c r="T9" s="53" t="str">
        <x:f>IF(OR(Q9="",R9=""),"",Q9+IF(R9=1,1,IF(R9=2,3,IF(R9=3,7,IF(R9=4,14,30)))))</x:f>
      </x:c>
    </x:row>
    <x:row r="10" ht="46" customHeight="1">
      <x:c r="A10" s="51" t="n">
        <x:v>6</x:v>
      </x:c>
      <x:c r="B10" s="51" t="str">
        <x:v>1 - Core</x:v>
      </x:c>
      <x:c r="C10" s="51" t="str">
        <x:v>P0</x:v>
      </x:c>
      <x:c r="D10" s="34" t="str">
        <x:v>Arrays &amp; Hashing</x:v>
      </x:c>
      <x:c r="E10" s="34" t="str">
        <x:v>Matrix marker compression</x:v>
      </x:c>
      <x:c r="F10" s="51" t="n">
        <x:v>73</x:v>
      </x:c>
      <x:c r="G10" s="52" t="str">
        <x:v>Set Matrix Zeroes</x:v>
      </x:c>
      <x:c r="H10" s="52" t="str">
        <x:v>Medium</x:v>
      </x:c>
      <x:c r="I10" s="52" t="n">
        <x:v>27</x:v>
      </x:c>
      <x:c r="J10" s="34" t="str">
        <x:v>Use first row and column as marker storage</x:v>
      </x:c>
      <x:c r="K10" s="34" t="str">
        <x:v>Builds O(n) state-design and edge-case discipline.</x:v>
      </x:c>
      <x:c r="L10" s="34" t="str">
        <x:v>Directional company-pattern signal: Amazon, Microsoft, Google, Meta, Adobe</x:v>
      </x:c>
      <x:c r="M10" s="49" t="str">
        <x:v>https://leetcode.com/problems/set-matrix-zeroes/</x:v>
      </x:c>
      <x:c r="N10" s="51" t="str">
        <x:v>Not started</x:v>
      </x:c>
      <x:c r="O10" s="51" t="n">
        <x:v>0</x:v>
      </x:c>
      <x:c r="P10" s="51"/>
      <x:c r="Q10" s="53"/>
      <x:c r="R10" s="51"/>
      <x:c r="S10" s="34" t="str"/>
      <x:c r="T10" s="53" t="str">
        <x:f>IF(OR(Q10="",R10=""),"",Q10+IF(R10=1,1,IF(R10=2,3,IF(R10=3,7,IF(R10=4,14,30)))))</x:f>
      </x:c>
    </x:row>
    <x:row r="11" ht="46" customHeight="1">
      <x:c r="A11" s="51" t="n">
        <x:v>7</x:v>
      </x:c>
      <x:c r="B11" s="51" t="str">
        <x:v>2 - Depth</x:v>
      </x:c>
      <x:c r="C11" s="51" t="str">
        <x:v>P1</x:v>
      </x:c>
      <x:c r="D11" s="34" t="str">
        <x:v>Arrays &amp; Hashing</x:v>
      </x:c>
      <x:c r="E11" s="34" t="str">
        <x:v>Layer-by-layer matrix transform</x:v>
      </x:c>
      <x:c r="F11" s="51" t="n">
        <x:v>48</x:v>
      </x:c>
      <x:c r="G11" s="52" t="str">
        <x:v>Rotate Image</x:v>
      </x:c>
      <x:c r="H11" s="52" t="str">
        <x:v>Medium</x:v>
      </x:c>
      <x:c r="I11" s="52" t="n">
        <x:v>27</x:v>
      </x:c>
      <x:c r="J11" s="34" t="str">
        <x:v>Transpose then reverse, or rotate four cells at a time</x:v>
      </x:c>
      <x:c r="K11" s="34" t="str">
        <x:v>Builds O(n) state-design and edge-case discipline.</x:v>
      </x:c>
      <x:c r="L11" s="34" t="str">
        <x:v>Directional company-pattern signal: Amazon, Microsoft, Google, Meta, Adobe</x:v>
      </x:c>
      <x:c r="M11" s="49" t="str">
        <x:v>https://leetcode.com/problems/rotate-image/</x:v>
      </x:c>
      <x:c r="N11" s="51" t="str">
        <x:v>Not started</x:v>
      </x:c>
      <x:c r="O11" s="51" t="n">
        <x:v>0</x:v>
      </x:c>
      <x:c r="P11" s="51"/>
      <x:c r="Q11" s="53"/>
      <x:c r="R11" s="51"/>
      <x:c r="S11" s="34" t="str"/>
      <x:c r="T11" s="53" t="str">
        <x:f>IF(OR(Q11="",R11=""),"",Q11+IF(R11=1,1,IF(R11=2,3,IF(R11=3,7,IF(R11=4,14,30)))))</x:f>
      </x:c>
    </x:row>
    <x:row r="12" ht="46" customHeight="1">
      <x:c r="A12" s="51" t="n">
        <x:v>8</x:v>
      </x:c>
      <x:c r="B12" s="51" t="str">
        <x:v>2 - Depth</x:v>
      </x:c>
      <x:c r="C12" s="51" t="str">
        <x:v>P1</x:v>
      </x:c>
      <x:c r="D12" s="34" t="str">
        <x:v>Arrays &amp; Hashing</x:v>
      </x:c>
      <x:c r="E12" s="34" t="str">
        <x:v>Constraint bookkeeping</x:v>
      </x:c>
      <x:c r="F12" s="51" t="n">
        <x:v>36</x:v>
      </x:c>
      <x:c r="G12" s="52" t="str">
        <x:v>Valid Sudoku</x:v>
      </x:c>
      <x:c r="H12" s="52" t="str">
        <x:v>Medium</x:v>
      </x:c>
      <x:c r="I12" s="52" t="n">
        <x:v>27</x:v>
      </x:c>
      <x:c r="J12" s="34" t="str">
        <x:v>Same value must be unique in three independent groups</x:v>
      </x:c>
      <x:c r="K12" s="34" t="str">
        <x:v>Builds O(n) state-design and edge-case discipline.</x:v>
      </x:c>
      <x:c r="L12" s="34" t="str">
        <x:v>Directional company-pattern signal: Amazon, Microsoft, Google, Meta, Adobe</x:v>
      </x:c>
      <x:c r="M12" s="49" t="str">
        <x:v>https://leetcode.com/problems/valid-sudoku/</x:v>
      </x:c>
      <x:c r="N12" s="51" t="str">
        <x:v>Not started</x:v>
      </x:c>
      <x:c r="O12" s="51" t="n">
        <x:v>0</x:v>
      </x:c>
      <x:c r="P12" s="51"/>
      <x:c r="Q12" s="53"/>
      <x:c r="R12" s="51"/>
      <x:c r="S12" s="34" t="str"/>
      <x:c r="T12" s="53" t="str">
        <x:f>IF(OR(Q12="",R12=""),"",Q12+IF(R12=1,1,IF(R12=2,3,IF(R12=3,7,IF(R12=4,14,30)))))</x:f>
      </x:c>
    </x:row>
    <x:row r="13" ht="46" customHeight="1">
      <x:c r="A13" s="51" t="n">
        <x:v>9</x:v>
      </x:c>
      <x:c r="B13" s="51" t="str">
        <x:v>1 - Core</x:v>
      </x:c>
      <x:c r="C13" s="51" t="str">
        <x:v>P0</x:v>
      </x:c>
      <x:c r="D13" s="34" t="str">
        <x:v>Two Pointers</x:v>
      </x:c>
      <x:c r="E13" s="34" t="str">
        <x:v>Opposing pointers / area</x:v>
      </x:c>
      <x:c r="F13" s="51" t="n">
        <x:v>11</x:v>
      </x:c>
      <x:c r="G13" s="52" t="str">
        <x:v>Container With Most Water</x:v>
      </x:c>
      <x:c r="H13" s="52" t="str">
        <x:v>Medium</x:v>
      </x:c>
      <x:c r="I13" s="52" t="n">
        <x:v>27</x:v>
      </x:c>
      <x:c r="J13" s="34" t="str">
        <x:v>Move the shorter boundary because it limits the area</x:v>
      </x:c>
      <x:c r="K13" s="34" t="str">
        <x:v>Tests pointer invariants, sorting trade-offs, and duplicate handling.</x:v>
      </x:c>
      <x:c r="L13" s="34" t="str">
        <x:v>Directional company-pattern signal: Amazon, Google, Microsoft, Goldman Sachs</x:v>
      </x:c>
      <x:c r="M13" s="49" t="str">
        <x:v>https://leetcode.com/problems/container-with-most-water/</x:v>
      </x:c>
      <x:c r="N13" s="51" t="str">
        <x:v>Not started</x:v>
      </x:c>
      <x:c r="O13" s="51" t="n">
        <x:v>0</x:v>
      </x:c>
      <x:c r="P13" s="51"/>
      <x:c r="Q13" s="53"/>
      <x:c r="R13" s="51"/>
      <x:c r="S13" s="34" t="str"/>
      <x:c r="T13" s="53" t="str">
        <x:f>IF(OR(Q13="",R13=""),"",Q13+IF(R13=1,1,IF(R13=2,3,IF(R13=3,7,IF(R13=4,14,30)))))</x:f>
      </x:c>
    </x:row>
    <x:row r="14" ht="46" customHeight="1">
      <x:c r="A14" s="51" t="n">
        <x:v>10</x:v>
      </x:c>
      <x:c r="B14" s="51" t="str">
        <x:v>1 - Core</x:v>
      </x:c>
      <x:c r="C14" s="51" t="str">
        <x:v>P0</x:v>
      </x:c>
      <x:c r="D14" s="34" t="str">
        <x:v>Two Pointers</x:v>
      </x:c>
      <x:c r="E14" s="34" t="str">
        <x:v>Sort + deduplicate</x:v>
      </x:c>
      <x:c r="F14" s="51" t="n">
        <x:v>15</x:v>
      </x:c>
      <x:c r="G14" s="52" t="str">
        <x:v>3Sum</x:v>
      </x:c>
      <x:c r="H14" s="52" t="str">
        <x:v>Medium</x:v>
      </x:c>
      <x:c r="I14" s="52" t="n">
        <x:v>27</x:v>
      </x:c>
      <x:c r="J14" s="34" t="str">
        <x:v>Sorted array turns the inner search into two pointers</x:v>
      </x:c>
      <x:c r="K14" s="34" t="str">
        <x:v>Tests pointer invariants, sorting trade-offs, and duplicate handling.</x:v>
      </x:c>
      <x:c r="L14" s="34" t="str">
        <x:v>Directional company-pattern signal: Amazon, Google, Microsoft, Goldman Sachs</x:v>
      </x:c>
      <x:c r="M14" s="49" t="str">
        <x:v>https://leetcode.com/problems/3sum/</x:v>
      </x:c>
      <x:c r="N14" s="51" t="str">
        <x:v>Not started</x:v>
      </x:c>
      <x:c r="O14" s="51" t="n">
        <x:v>0</x:v>
      </x:c>
      <x:c r="P14" s="51"/>
      <x:c r="Q14" s="53"/>
      <x:c r="R14" s="51"/>
      <x:c r="S14" s="34" t="str"/>
      <x:c r="T14" s="53" t="str">
        <x:f>IF(OR(Q14="",R14=""),"",Q14+IF(R14=1,1,IF(R14=2,3,IF(R14=3,7,IF(R14=4,14,30)))))</x:f>
      </x:c>
    </x:row>
    <x:row r="15" ht="46" customHeight="1">
      <x:c r="A15" s="51" t="n">
        <x:v>11</x:v>
      </x:c>
      <x:c r="B15" s="51" t="str">
        <x:v>2 - Depth</x:v>
      </x:c>
      <x:c r="C15" s="51" t="str">
        <x:v>P1</x:v>
      </x:c>
      <x:c r="D15" s="34" t="str">
        <x:v>Two Pointers</x:v>
      </x:c>
      <x:c r="E15" s="34" t="str">
        <x:v>Two-sided invariant</x:v>
      </x:c>
      <x:c r="F15" s="51" t="n">
        <x:v>42</x:v>
      </x:c>
      <x:c r="G15" s="52" t="str">
        <x:v>Trapping Rain Water</x:v>
      </x:c>
      <x:c r="H15" s="52" t="str">
        <x:v>Hard</x:v>
      </x:c>
      <x:c r="I15" s="52" t="n">
        <x:v>42</x:v>
      </x:c>
      <x:c r="J15" s="34" t="str">
        <x:v>The lower side has a finalized water bound</x:v>
      </x:c>
      <x:c r="K15" s="34" t="str">
        <x:v>Tests pointer invariants, sorting trade-offs, and duplicate handling.</x:v>
      </x:c>
      <x:c r="L15" s="34" t="str">
        <x:v>Reported question: Goldman Sachs 2025 interview (Trapping Rain Water)</x:v>
      </x:c>
      <x:c r="M15" s="49" t="str">
        <x:v>https://leetcode.com/problems/trapping-rain-water/</x:v>
      </x:c>
      <x:c r="N15" s="51" t="str">
        <x:v>Not started</x:v>
      </x:c>
      <x:c r="O15" s="51" t="n">
        <x:v>0</x:v>
      </x:c>
      <x:c r="P15" s="51"/>
      <x:c r="Q15" s="53"/>
      <x:c r="R15" s="51"/>
      <x:c r="S15" s="34" t="str"/>
      <x:c r="T15" s="53" t="str">
        <x:f>IF(OR(Q15="",R15=""),"",Q15+IF(R15=1,1,IF(R15=2,3,IF(R15=3,7,IF(R15=4,14,30)))))</x:f>
      </x:c>
    </x:row>
    <x:row r="16" ht="46" customHeight="1">
      <x:c r="A16" s="51" t="n">
        <x:v>12</x:v>
      </x:c>
      <x:c r="B16" s="51" t="str">
        <x:v>1 - Core</x:v>
      </x:c>
      <x:c r="C16" s="51" t="str">
        <x:v>P0</x:v>
      </x:c>
      <x:c r="D16" s="34" t="str">
        <x:v>Two Pointers</x:v>
      </x:c>
      <x:c r="E16" s="34" t="str">
        <x:v>Dutch national flag</x:v>
      </x:c>
      <x:c r="F16" s="51" t="n">
        <x:v>75</x:v>
      </x:c>
      <x:c r="G16" s="52" t="str">
        <x:v>Sort Colors</x:v>
      </x:c>
      <x:c r="H16" s="52" t="str">
        <x:v>Medium</x:v>
      </x:c>
      <x:c r="I16" s="52" t="n">
        <x:v>27</x:v>
      </x:c>
      <x:c r="J16" s="34" t="str">
        <x:v>Maintain completed low, unknown, and completed high regions</x:v>
      </x:c>
      <x:c r="K16" s="34" t="str">
        <x:v>Tests pointer invariants, sorting trade-offs, and duplicate handling.</x:v>
      </x:c>
      <x:c r="L16" s="34" t="str">
        <x:v>Directional company-pattern signal: Amazon, Google, Microsoft, Goldman Sachs</x:v>
      </x:c>
      <x:c r="M16" s="49" t="str">
        <x:v>https://leetcode.com/problems/sort-colors/</x:v>
      </x:c>
      <x:c r="N16" s="51" t="str">
        <x:v>Not started</x:v>
      </x:c>
      <x:c r="O16" s="51" t="n">
        <x:v>0</x:v>
      </x:c>
      <x:c r="P16" s="51"/>
      <x:c r="Q16" s="53"/>
      <x:c r="R16" s="51"/>
      <x:c r="S16" s="34" t="str"/>
      <x:c r="T16" s="53" t="str">
        <x:f>IF(OR(Q16="",R16=""),"",Q16+IF(R16=1,1,IF(R16=2,3,IF(R16=3,7,IF(R16=4,14,30)))))</x:f>
      </x:c>
    </x:row>
    <x:row r="17" ht="46" customHeight="1">
      <x:c r="A17" s="51" t="n">
        <x:v>13</x:v>
      </x:c>
      <x:c r="B17" s="51" t="str">
        <x:v>2 - Depth</x:v>
      </x:c>
      <x:c r="C17" s="51" t="str">
        <x:v>P1</x:v>
      </x:c>
      <x:c r="D17" s="34" t="str">
        <x:v>Two Pointers</x:v>
      </x:c>
      <x:c r="E17" s="34" t="str">
        <x:v>Lexicographic pivot</x:v>
      </x:c>
      <x:c r="F17" s="51" t="n">
        <x:v>31</x:v>
      </x:c>
      <x:c r="G17" s="52" t="str">
        <x:v>Next Permutation</x:v>
      </x:c>
      <x:c r="H17" s="52" t="str">
        <x:v>Medium</x:v>
      </x:c>
      <x:c r="I17" s="52" t="n">
        <x:v>27</x:v>
      </x:c>
      <x:c r="J17" s="34" t="str">
        <x:v>Find the rightmost ascent, swap successor, reverse suffix</x:v>
      </x:c>
      <x:c r="K17" s="34" t="str">
        <x:v>Tests pointer invariants, sorting trade-offs, and duplicate handling.</x:v>
      </x:c>
      <x:c r="L17" s="34" t="str">
        <x:v>Directional company-pattern signal: Amazon, Google, Microsoft, Goldman Sachs</x:v>
      </x:c>
      <x:c r="M17" s="49" t="str">
        <x:v>https://leetcode.com/problems/next-permutation/</x:v>
      </x:c>
      <x:c r="N17" s="51" t="str">
        <x:v>Not started</x:v>
      </x:c>
      <x:c r="O17" s="51" t="n">
        <x:v>0</x:v>
      </x:c>
      <x:c r="P17" s="51"/>
      <x:c r="Q17" s="53"/>
      <x:c r="R17" s="51"/>
      <x:c r="S17" s="34" t="str"/>
      <x:c r="T17" s="53" t="str">
        <x:f>IF(OR(Q17="",R17=""),"",Q17+IF(R17=1,1,IF(R17=2,3,IF(R17=3,7,IF(R17=4,14,30)))))</x:f>
      </x:c>
    </x:row>
    <x:row r="18" ht="46" customHeight="1">
      <x:c r="A18" s="51" t="n">
        <x:v>14</x:v>
      </x:c>
      <x:c r="B18" s="51" t="str">
        <x:v>1 - Core</x:v>
      </x:c>
      <x:c r="C18" s="51" t="str">
        <x:v>P0</x:v>
      </x:c>
      <x:c r="D18" s="34" t="str">
        <x:v>Two Pointers</x:v>
      </x:c>
      <x:c r="E18" s="34" t="str">
        <x:v>Sort + greedy pairing</x:v>
      </x:c>
      <x:c r="F18" s="51" t="n">
        <x:v>881</x:v>
      </x:c>
      <x:c r="G18" s="52" t="str">
        <x:v>Boats to Save People</x:v>
      </x:c>
      <x:c r="H18" s="52" t="str">
        <x:v>Medium</x:v>
      </x:c>
      <x:c r="I18" s="52" t="n">
        <x:v>27</x:v>
      </x:c>
      <x:c r="J18" s="34" t="str">
        <x:v>Always place the heaviest; pair with the lightest if possible</x:v>
      </x:c>
      <x:c r="K18" s="34" t="str">
        <x:v>Tests pointer invariants, sorting trade-offs, and duplicate handling.</x:v>
      </x:c>
      <x:c r="L18" s="34" t="str">
        <x:v>Directional company-pattern signal: Amazon, Google, Microsoft, Goldman Sachs</x:v>
      </x:c>
      <x:c r="M18" s="49" t="str">
        <x:v>https://leetcode.com/problems/boats-to-save-people/</x:v>
      </x:c>
      <x:c r="N18" s="51" t="str">
        <x:v>Not started</x:v>
      </x:c>
      <x:c r="O18" s="51" t="n">
        <x:v>0</x:v>
      </x:c>
      <x:c r="P18" s="51"/>
      <x:c r="Q18" s="53"/>
      <x:c r="R18" s="51"/>
      <x:c r="S18" s="34" t="str"/>
      <x:c r="T18" s="53" t="str">
        <x:f>IF(OR(Q18="",R18=""),"",Q18+IF(R18=1,1,IF(R18=2,3,IF(R18=3,7,IF(R18=4,14,30)))))</x:f>
      </x:c>
    </x:row>
    <x:row r="19" ht="46" customHeight="1">
      <x:c r="A19" s="51" t="n">
        <x:v>15</x:v>
      </x:c>
      <x:c r="B19" s="51" t="str">
        <x:v>1 - Core</x:v>
      </x:c>
      <x:c r="C19" s="51" t="str">
        <x:v>P0</x:v>
      </x:c>
      <x:c r="D19" s="34" t="str">
        <x:v>Sliding Window</x:v>
      </x:c>
      <x:c r="E19" s="34" t="str">
        <x:v>Variable window / last seen</x:v>
      </x:c>
      <x:c r="F19" s="51" t="n">
        <x:v>3</x:v>
      </x:c>
      <x:c r="G19" s="52" t="str">
        <x:v>Longest Substring Without Repeating Characters</x:v>
      </x:c>
      <x:c r="H19" s="52" t="str">
        <x:v>Medium</x:v>
      </x:c>
      <x:c r="I19" s="52" t="n">
        <x:v>27</x:v>
      </x:c>
      <x:c r="J19" s="34" t="str">
        <x:v>Invalidity is caused by a repeated character inside the window</x:v>
      </x:c>
      <x:c r="K19" s="34" t="str">
        <x:v>Trains fast recognition of fixed, variable, and counting windows.</x:v>
      </x:c>
      <x:c r="L19" s="34" t="str">
        <x:v>Directional company-pattern signal: Amazon, Google, Meta, Uber</x:v>
      </x:c>
      <x:c r="M19" s="49" t="str">
        <x:v>https://leetcode.com/problems/longest-substring-without-repeating-characters/</x:v>
      </x:c>
      <x:c r="N19" s="51" t="str">
        <x:v>Not started</x:v>
      </x:c>
      <x:c r="O19" s="51" t="n">
        <x:v>0</x:v>
      </x:c>
      <x:c r="P19" s="51"/>
      <x:c r="Q19" s="53"/>
      <x:c r="R19" s="51"/>
      <x:c r="S19" s="34" t="str"/>
      <x:c r="T19" s="53" t="str">
        <x:f>IF(OR(Q19="",R19=""),"",Q19+IF(R19=1,1,IF(R19=2,3,IF(R19=3,7,IF(R19=4,14,30)))))</x:f>
      </x:c>
    </x:row>
    <x:row r="20" ht="46" customHeight="1">
      <x:c r="A20" s="51" t="n">
        <x:v>16</x:v>
      </x:c>
      <x:c r="B20" s="51" t="str">
        <x:v>1 - Core</x:v>
      </x:c>
      <x:c r="C20" s="51" t="str">
        <x:v>P0</x:v>
      </x:c>
      <x:c r="D20" s="34" t="str">
        <x:v>Sliding Window</x:v>
      </x:c>
      <x:c r="E20" s="34" t="str">
        <x:v>Window with limited replacements</x:v>
      </x:c>
      <x:c r="F20" s="51" t="n">
        <x:v>424</x:v>
      </x:c>
      <x:c r="G20" s="52" t="str">
        <x:v>Longest Repeating Character Replacement</x:v>
      </x:c>
      <x:c r="H20" s="52" t="str">
        <x:v>Medium</x:v>
      </x:c>
      <x:c r="I20" s="52" t="n">
        <x:v>27</x:v>
      </x:c>
      <x:c r="J20" s="34" t="str">
        <x:v>Window size minus maximum frequency is replacements needed</x:v>
      </x:c>
      <x:c r="K20" s="34" t="str">
        <x:v>Trains fast recognition of fixed, variable, and counting windows.</x:v>
      </x:c>
      <x:c r="L20" s="34" t="str">
        <x:v>Directional company-pattern signal: Amazon, Google, Meta, Uber</x:v>
      </x:c>
      <x:c r="M20" s="49" t="str">
        <x:v>https://leetcode.com/problems/longest-repeating-character-replacement/</x:v>
      </x:c>
      <x:c r="N20" s="51" t="str">
        <x:v>Not started</x:v>
      </x:c>
      <x:c r="O20" s="51" t="n">
        <x:v>0</x:v>
      </x:c>
      <x:c r="P20" s="51"/>
      <x:c r="Q20" s="53"/>
      <x:c r="R20" s="51"/>
      <x:c r="S20" s="34" t="str"/>
      <x:c r="T20" s="53" t="str">
        <x:f>IF(OR(Q20="",R20=""),"",Q20+IF(R20=1,1,IF(R20=2,3,IF(R20=3,7,IF(R20=4,14,30)))))</x:f>
      </x:c>
    </x:row>
    <x:row r="21" ht="46" customHeight="1">
      <x:c r="A21" s="51" t="n">
        <x:v>17</x:v>
      </x:c>
      <x:c r="B21" s="51" t="str">
        <x:v>1 - Core</x:v>
      </x:c>
      <x:c r="C21" s="51" t="str">
        <x:v>P0</x:v>
      </x:c>
      <x:c r="D21" s="34" t="str">
        <x:v>Sliding Window</x:v>
      </x:c>
      <x:c r="E21" s="34" t="str">
        <x:v>Fixed window frequency</x:v>
      </x:c>
      <x:c r="F21" s="51" t="n">
        <x:v>567</x:v>
      </x:c>
      <x:c r="G21" s="52" t="str">
        <x:v>Permutation in String</x:v>
      </x:c>
      <x:c r="H21" s="52" t="str">
        <x:v>Medium</x:v>
      </x:c>
      <x:c r="I21" s="52" t="n">
        <x:v>27</x:v>
      </x:c>
      <x:c r="J21" s="34" t="str">
        <x:v>Compare character counts over a fixed-length window</x:v>
      </x:c>
      <x:c r="K21" s="34" t="str">
        <x:v>Trains fast recognition of fixed, variable, and counting windows.</x:v>
      </x:c>
      <x:c r="L21" s="34" t="str">
        <x:v>Directional company-pattern signal: Amazon, Google, Meta, Uber</x:v>
      </x:c>
      <x:c r="M21" s="49" t="str">
        <x:v>https://leetcode.com/problems/permutation-in-string/</x:v>
      </x:c>
      <x:c r="N21" s="51" t="str">
        <x:v>Not started</x:v>
      </x:c>
      <x:c r="O21" s="51" t="n">
        <x:v>0</x:v>
      </x:c>
      <x:c r="P21" s="51"/>
      <x:c r="Q21" s="53"/>
      <x:c r="R21" s="51"/>
      <x:c r="S21" s="34" t="str"/>
      <x:c r="T21" s="53" t="str">
        <x:f>IF(OR(Q21="",R21=""),"",Q21+IF(R21=1,1,IF(R21=2,3,IF(R21=3,7,IF(R21=4,14,30)))))</x:f>
      </x:c>
    </x:row>
    <x:row r="22" ht="46" customHeight="1">
      <x:c r="A22" s="51" t="n">
        <x:v>18</x:v>
      </x:c>
      <x:c r="B22" s="51" t="str">
        <x:v>2 - Depth</x:v>
      </x:c>
      <x:c r="C22" s="51" t="str">
        <x:v>P1</x:v>
      </x:c>
      <x:c r="D22" s="34" t="str">
        <x:v>Sliding Window</x:v>
      </x:c>
      <x:c r="E22" s="34" t="str">
        <x:v>Minimum valid window</x:v>
      </x:c>
      <x:c r="F22" s="51" t="n">
        <x:v>76</x:v>
      </x:c>
      <x:c r="G22" s="52" t="str">
        <x:v>Minimum Window Substring</x:v>
      </x:c>
      <x:c r="H22" s="52" t="str">
        <x:v>Hard</x:v>
      </x:c>
      <x:c r="I22" s="52" t="n">
        <x:v>42</x:v>
      </x:c>
      <x:c r="J22" s="34" t="str">
        <x:v>Expand until valid, then shrink while preserving validity</x:v>
      </x:c>
      <x:c r="K22" s="34" t="str">
        <x:v>Trains fast recognition of fixed, variable, and counting windows.</x:v>
      </x:c>
      <x:c r="L22" s="34" t="str">
        <x:v>Directional company-pattern signal: Amazon, Google, Meta, Uber</x:v>
      </x:c>
      <x:c r="M22" s="49" t="str">
        <x:v>https://leetcode.com/problems/minimum-window-substring/</x:v>
      </x:c>
      <x:c r="N22" s="51" t="str">
        <x:v>Not started</x:v>
      </x:c>
      <x:c r="O22" s="51" t="n">
        <x:v>0</x:v>
      </x:c>
      <x:c r="P22" s="51"/>
      <x:c r="Q22" s="53"/>
      <x:c r="R22" s="51"/>
      <x:c r="S22" s="34" t="str"/>
      <x:c r="T22" s="53" t="str">
        <x:f>IF(OR(Q22="",R22=""),"",Q22+IF(R22=1,1,IF(R22=2,3,IF(R22=3,7,IF(R22=4,14,30)))))</x:f>
      </x:c>
    </x:row>
    <x:row r="23" ht="46" customHeight="1">
      <x:c r="A23" s="51" t="n">
        <x:v>19</x:v>
      </x:c>
      <x:c r="B23" s="51" t="str">
        <x:v>2 - Depth</x:v>
      </x:c>
      <x:c r="C23" s="51" t="str">
        <x:v>P1</x:v>
      </x:c>
      <x:c r="D23" s="34" t="str">
        <x:v>Sliding Window</x:v>
      </x:c>
      <x:c r="E23" s="34" t="str">
        <x:v>Monotonic deque</x:v>
      </x:c>
      <x:c r="F23" s="51" t="n">
        <x:v>239</x:v>
      </x:c>
      <x:c r="G23" s="52" t="str">
        <x:v>Sliding Window Maximum</x:v>
      </x:c>
      <x:c r="H23" s="52" t="str">
        <x:v>Hard</x:v>
      </x:c>
      <x:c r="I23" s="52" t="n">
        <x:v>42</x:v>
      </x:c>
      <x:c r="J23" s="34" t="str">
        <x:v>Discard smaller values that can never become a maximum</x:v>
      </x:c>
      <x:c r="K23" s="34" t="str">
        <x:v>Trains fast recognition of fixed, variable, and counting windows.</x:v>
      </x:c>
      <x:c r="L23" s="34" t="str">
        <x:v>Directional company-pattern signal: Amazon, Google, Meta, Uber</x:v>
      </x:c>
      <x:c r="M23" s="49" t="str">
        <x:v>https://leetcode.com/problems/sliding-window-maximum/</x:v>
      </x:c>
      <x:c r="N23" s="51" t="str">
        <x:v>Not started</x:v>
      </x:c>
      <x:c r="O23" s="51" t="n">
        <x:v>0</x:v>
      </x:c>
      <x:c r="P23" s="51"/>
      <x:c r="Q23" s="53"/>
      <x:c r="R23" s="51"/>
      <x:c r="S23" s="34" t="str"/>
      <x:c r="T23" s="53" t="str">
        <x:f>IF(OR(Q23="",R23=""),"",Q23+IF(R23=1,1,IF(R23=2,3,IF(R23=3,7,IF(R23=4,14,30)))))</x:f>
      </x:c>
    </x:row>
    <x:row r="24" ht="46" customHeight="1">
      <x:c r="A24" s="51" t="n">
        <x:v>20</x:v>
      </x:c>
      <x:c r="B24" s="51" t="str">
        <x:v>1 - Core</x:v>
      </x:c>
      <x:c r="C24" s="51" t="str">
        <x:v>P0</x:v>
      </x:c>
      <x:c r="D24" s="34" t="str">
        <x:v>Sliding Window</x:v>
      </x:c>
      <x:c r="E24" s="34" t="str">
        <x:v>At-most-K categories</x:v>
      </x:c>
      <x:c r="F24" s="51" t="n">
        <x:v>904</x:v>
      </x:c>
      <x:c r="G24" s="52" t="str">
        <x:v>Fruit Into Baskets</x:v>
      </x:c>
      <x:c r="H24" s="52" t="str">
        <x:v>Medium</x:v>
      </x:c>
      <x:c r="I24" s="52" t="n">
        <x:v>27</x:v>
      </x:c>
      <x:c r="J24" s="34" t="str">
        <x:v>Longest window containing at most two distinct values</x:v>
      </x:c>
      <x:c r="K24" s="34" t="str">
        <x:v>Trains fast recognition of fixed, variable, and counting windows.</x:v>
      </x:c>
      <x:c r="L24" s="34" t="str">
        <x:v>Directional company-pattern signal: Amazon, Google, Meta, Uber</x:v>
      </x:c>
      <x:c r="M24" s="49" t="str">
        <x:v>https://leetcode.com/problems/fruit-into-baskets/</x:v>
      </x:c>
      <x:c r="N24" s="51" t="str">
        <x:v>Not started</x:v>
      </x:c>
      <x:c r="O24" s="51" t="n">
        <x:v>0</x:v>
      </x:c>
      <x:c r="P24" s="51"/>
      <x:c r="Q24" s="53"/>
      <x:c r="R24" s="51"/>
      <x:c r="S24" s="34" t="str"/>
      <x:c r="T24" s="53" t="str">
        <x:f>IF(OR(Q24="",R24=""),"",Q24+IF(R24=1,1,IF(R24=2,3,IF(R24=3,7,IF(R24=4,14,30)))))</x:f>
      </x:c>
    </x:row>
    <x:row r="25" ht="46" customHeight="1">
      <x:c r="A25" s="51" t="n">
        <x:v>21</x:v>
      </x:c>
      <x:c r="B25" s="51" t="str">
        <x:v>3 - Stretch</x:v>
      </x:c>
      <x:c r="C25" s="51" t="str">
        <x:v>P2</x:v>
      </x:c>
      <x:c r="D25" s="34" t="str">
        <x:v>Sliding Window</x:v>
      </x:c>
      <x:c r="E25" s="34" t="str">
        <x:v>Exactly K via at-most</x:v>
      </x:c>
      <x:c r="F25" s="51" t="n">
        <x:v>992</x:v>
      </x:c>
      <x:c r="G25" s="52" t="str">
        <x:v>Subarrays with K Different Integers</x:v>
      </x:c>
      <x:c r="H25" s="52" t="str">
        <x:v>Hard</x:v>
      </x:c>
      <x:c r="I25" s="52" t="n">
        <x:v>42</x:v>
      </x:c>
      <x:c r="J25" s="34" t="str">
        <x:v>Exactly K equals atMost(K) minus atMost(K-1)</x:v>
      </x:c>
      <x:c r="K25" s="34" t="str">
        <x:v>Trains fast recognition of fixed, variable, and counting windows.</x:v>
      </x:c>
      <x:c r="L25" s="34" t="str">
        <x:v>Directional company-pattern signal: Amazon, Google, Meta, Uber</x:v>
      </x:c>
      <x:c r="M25" s="49" t="str">
        <x:v>https://leetcode.com/problems/subarrays-with-k-different-integers/</x:v>
      </x:c>
      <x:c r="N25" s="51" t="str">
        <x:v>Not started</x:v>
      </x:c>
      <x:c r="O25" s="51" t="n">
        <x:v>0</x:v>
      </x:c>
      <x:c r="P25" s="51"/>
      <x:c r="Q25" s="53"/>
      <x:c r="R25" s="51"/>
      <x:c r="S25" s="34" t="str"/>
      <x:c r="T25" s="53" t="str">
        <x:f>IF(OR(Q25="",R25=""),"",Q25+IF(R25=1,1,IF(R25=2,3,IF(R25=3,7,IF(R25=4,14,30)))))</x:f>
      </x:c>
    </x:row>
    <x:row r="26" ht="46" customHeight="1">
      <x:c r="A26" s="51" t="n">
        <x:v>22</x:v>
      </x:c>
      <x:c r="B26" s="51" t="str">
        <x:v>1 - Core</x:v>
      </x:c>
      <x:c r="C26" s="51" t="str">
        <x:v>P0</x:v>
      </x:c>
      <x:c r="D26" s="34" t="str">
        <x:v>Prefix Sum &amp; Difference</x:v>
      </x:c>
      <x:c r="E26" s="34" t="str">
        <x:v>Balanced binary counts</x:v>
      </x:c>
      <x:c r="F26" s="51" t="n">
        <x:v>525</x:v>
      </x:c>
      <x:c r="G26" s="52" t="str">
        <x:v>Contiguous Array</x:v>
      </x:c>
      <x:c r="H26" s="52" t="str">
        <x:v>Medium</x:v>
      </x:c>
      <x:c r="I26" s="52" t="n">
        <x:v>27</x:v>
      </x:c>
      <x:c r="J26" s="34" t="str">
        <x:v>Map 0 to -1; repeated balance gives an equal-count segment</x:v>
      </x:c>
      <x:c r="K26" s="34" t="str">
        <x:v>Covers range aggregation and subarray-count transformations.</x:v>
      </x:c>
      <x:c r="L26" s="34" t="str">
        <x:v>Directional company-pattern signal: Amazon, Microsoft, Walmart</x:v>
      </x:c>
      <x:c r="M26" s="49" t="str">
        <x:v>https://leetcode.com/problems/contiguous-array/</x:v>
      </x:c>
      <x:c r="N26" s="51" t="str">
        <x:v>Not started</x:v>
      </x:c>
      <x:c r="O26" s="51" t="n">
        <x:v>0</x:v>
      </x:c>
      <x:c r="P26" s="51"/>
      <x:c r="Q26" s="53"/>
      <x:c r="R26" s="51"/>
      <x:c r="S26" s="34" t="str"/>
      <x:c r="T26" s="53" t="str">
        <x:f>IF(OR(Q26="",R26=""),"",Q26+IF(R26=1,1,IF(R26=2,3,IF(R26=3,7,IF(R26=4,14,30)))))</x:f>
      </x:c>
    </x:row>
    <x:row r="27" ht="46" customHeight="1">
      <x:c r="A27" s="51" t="n">
        <x:v>23</x:v>
      </x:c>
      <x:c r="B27" s="51" t="str">
        <x:v>2 - Depth</x:v>
      </x:c>
      <x:c r="C27" s="51" t="str">
        <x:v>P1</x:v>
      </x:c>
      <x:c r="D27" s="34" t="str">
        <x:v>Prefix Sum &amp; Difference</x:v>
      </x:c>
      <x:c r="E27" s="34" t="str">
        <x:v>2D prefix sums</x:v>
      </x:c>
      <x:c r="F27" s="51" t="n">
        <x:v>304</x:v>
      </x:c>
      <x:c r="G27" s="52" t="str">
        <x:v>Range Sum Query 2D - Immutable</x:v>
      </x:c>
      <x:c r="H27" s="52" t="str">
        <x:v>Medium</x:v>
      </x:c>
      <x:c r="I27" s="52" t="n">
        <x:v>27</x:v>
      </x:c>
      <x:c r="J27" s="34" t="str">
        <x:v>Rectangle sum is inclusion-exclusion on four prefixes</x:v>
      </x:c>
      <x:c r="K27" s="34" t="str">
        <x:v>Covers range aggregation and subarray-count transformations.</x:v>
      </x:c>
      <x:c r="L27" s="34" t="str">
        <x:v>Directional company-pattern signal: Amazon, Microsoft, Walmart</x:v>
      </x:c>
      <x:c r="M27" s="49" t="str">
        <x:v>https://leetcode.com/problems/range-sum-query-2d-immutable/</x:v>
      </x:c>
      <x:c r="N27" s="51" t="str">
        <x:v>Not started</x:v>
      </x:c>
      <x:c r="O27" s="51" t="n">
        <x:v>0</x:v>
      </x:c>
      <x:c r="P27" s="51"/>
      <x:c r="Q27" s="53"/>
      <x:c r="R27" s="51"/>
      <x:c r="S27" s="34" t="str"/>
      <x:c r="T27" s="53" t="str">
        <x:f>IF(OR(Q27="",R27=""),"",Q27+IF(R27=1,1,IF(R27=2,3,IF(R27=3,7,IF(R27=4,14,30)))))</x:f>
      </x:c>
    </x:row>
    <x:row r="28" ht="46" customHeight="1">
      <x:c r="A28" s="51" t="n">
        <x:v>24</x:v>
      </x:c>
      <x:c r="B28" s="51" t="str">
        <x:v>2 - Depth</x:v>
      </x:c>
      <x:c r="C28" s="51" t="str">
        <x:v>P1</x:v>
      </x:c>
      <x:c r="D28" s="34" t="str">
        <x:v>Prefix Sum &amp; Difference</x:v>
      </x:c>
      <x:c r="E28" s="34" t="str">
        <x:v>Modulo prefix states</x:v>
      </x:c>
      <x:c r="F28" s="51" t="n">
        <x:v>523</x:v>
      </x:c>
      <x:c r="G28" s="52" t="str">
        <x:v>Continuous Subarray Sum</x:v>
      </x:c>
      <x:c r="H28" s="52" t="str">
        <x:v>Medium</x:v>
      </x:c>
      <x:c r="I28" s="52" t="n">
        <x:v>27</x:v>
      </x:c>
      <x:c r="J28" s="34" t="str">
        <x:v>Equal prefix remainders imply a divisible subarray</x:v>
      </x:c>
      <x:c r="K28" s="34" t="str">
        <x:v>Covers range aggregation and subarray-count transformations.</x:v>
      </x:c>
      <x:c r="L28" s="34" t="str">
        <x:v>Directional company-pattern signal: Amazon, Microsoft, Walmart</x:v>
      </x:c>
      <x:c r="M28" s="49" t="str">
        <x:v>https://leetcode.com/problems/continuous-subarray-sum/</x:v>
      </x:c>
      <x:c r="N28" s="51" t="str">
        <x:v>Not started</x:v>
      </x:c>
      <x:c r="O28" s="51" t="n">
        <x:v>0</x:v>
      </x:c>
      <x:c r="P28" s="51"/>
      <x:c r="Q28" s="53"/>
      <x:c r="R28" s="51"/>
      <x:c r="S28" s="34" t="str"/>
      <x:c r="T28" s="53" t="str">
        <x:f>IF(OR(Q28="",R28=""),"",Q28+IF(R28=1,1,IF(R28=2,3,IF(R28=3,7,IF(R28=4,14,30)))))</x:f>
      </x:c>
    </x:row>
    <x:row r="29" ht="46" customHeight="1">
      <x:c r="A29" s="51" t="n">
        <x:v>25</x:v>
      </x:c>
      <x:c r="B29" s="51" t="str">
        <x:v>1 - Core</x:v>
      </x:c>
      <x:c r="C29" s="51" t="str">
        <x:v>P0</x:v>
      </x:c>
      <x:c r="D29" s="34" t="str">
        <x:v>Prefix Sum &amp; Difference</x:v>
      </x:c>
      <x:c r="E29" s="34" t="str">
        <x:v>Difference array / capacity</x:v>
      </x:c>
      <x:c r="F29" s="51" t="n">
        <x:v>1094</x:v>
      </x:c>
      <x:c r="G29" s="52" t="str">
        <x:v>Car Pooling</x:v>
      </x:c>
      <x:c r="H29" s="52" t="str">
        <x:v>Medium</x:v>
      </x:c>
      <x:c r="I29" s="52" t="n">
        <x:v>27</x:v>
      </x:c>
      <x:c r="J29" s="34" t="str">
        <x:v>Range additions become pickup and drop-off events</x:v>
      </x:c>
      <x:c r="K29" s="34" t="str">
        <x:v>Covers range aggregation and subarray-count transformations.</x:v>
      </x:c>
      <x:c r="L29" s="34" t="str">
        <x:v>Directional company-pattern signal: Amazon, Microsoft, Walmart</x:v>
      </x:c>
      <x:c r="M29" s="49" t="str">
        <x:v>https://leetcode.com/problems/car-pooling/</x:v>
      </x:c>
      <x:c r="N29" s="51" t="str">
        <x:v>Not started</x:v>
      </x:c>
      <x:c r="O29" s="51" t="n">
        <x:v>0</x:v>
      </x:c>
      <x:c r="P29" s="51"/>
      <x:c r="Q29" s="53"/>
      <x:c r="R29" s="51"/>
      <x:c r="S29" s="34" t="str"/>
      <x:c r="T29" s="53" t="str">
        <x:f>IF(OR(Q29="",R29=""),"",Q29+IF(R29=1,1,IF(R29=2,3,IF(R29=3,7,IF(R29=4,14,30)))))</x:f>
      </x:c>
    </x:row>
    <x:row r="30" ht="46" customHeight="1">
      <x:c r="A30" s="51" t="n">
        <x:v>26</x:v>
      </x:c>
      <x:c r="B30" s="51" t="str">
        <x:v>2 - Depth</x:v>
      </x:c>
      <x:c r="C30" s="51" t="str">
        <x:v>P1</x:v>
      </x:c>
      <x:c r="D30" s="34" t="str">
        <x:v>Prefix Sum &amp; Difference</x:v>
      </x:c>
      <x:c r="E30" s="34" t="str">
        <x:v>Exactly K via prefix counts</x:v>
      </x:c>
      <x:c r="F30" s="51" t="n">
        <x:v>1248</x:v>
      </x:c>
      <x:c r="G30" s="52" t="str">
        <x:v>Count Number of Nice Subarrays</x:v>
      </x:c>
      <x:c r="H30" s="52" t="str">
        <x:v>Medium</x:v>
      </x:c>
      <x:c r="I30" s="52" t="n">
        <x:v>27</x:v>
      </x:c>
      <x:c r="J30" s="34" t="str">
        <x:v>Convert parity to 0/1 and count prefix differences</x:v>
      </x:c>
      <x:c r="K30" s="34" t="str">
        <x:v>Covers range aggregation and subarray-count transformations.</x:v>
      </x:c>
      <x:c r="L30" s="34" t="str">
        <x:v>Directional company-pattern signal: Amazon, Microsoft, Walmart</x:v>
      </x:c>
      <x:c r="M30" s="49" t="str">
        <x:v>https://leetcode.com/problems/count-number-of-nice-subarrays/</x:v>
      </x:c>
      <x:c r="N30" s="51" t="str">
        <x:v>Not started</x:v>
      </x:c>
      <x:c r="O30" s="51" t="n">
        <x:v>0</x:v>
      </x:c>
      <x:c r="P30" s="51"/>
      <x:c r="Q30" s="53"/>
      <x:c r="R30" s="51"/>
      <x:c r="S30" s="34" t="str"/>
      <x:c r="T30" s="53" t="str">
        <x:f>IF(OR(Q30="",R30=""),"",Q30+IF(R30=1,1,IF(R30=2,3,IF(R30=3,7,IF(R30=4,14,30)))))</x:f>
      </x:c>
    </x:row>
    <x:row r="31" ht="46" customHeight="1">
      <x:c r="A31" s="51" t="n">
        <x:v>27</x:v>
      </x:c>
      <x:c r="B31" s="51" t="str">
        <x:v>1 - Core</x:v>
      </x:c>
      <x:c r="C31" s="51" t="str">
        <x:v>P0</x:v>
      </x:c>
      <x:c r="D31" s="34" t="str">
        <x:v>Binary Search</x:v>
      </x:c>
      <x:c r="E31" s="34" t="str">
        <x:v>Rotated sorted array</x:v>
      </x:c>
      <x:c r="F31" s="51" t="n">
        <x:v>33</x:v>
      </x:c>
      <x:c r="G31" s="52" t="str">
        <x:v>Search in Rotated Sorted Array</x:v>
      </x:c>
      <x:c r="H31" s="52" t="str">
        <x:v>Medium</x:v>
      </x:c>
      <x:c r="I31" s="52" t="n">
        <x:v>27</x:v>
      </x:c>
      <x:c r="J31" s="34" t="str">
        <x:v>One side is always sorted; decide whether target lies there</x:v>
      </x:c>
      <x:c r="K31" s="34" t="str">
        <x:v>Separates index search from monotonic answer-space search.</x:v>
      </x:c>
      <x:c r="L31" s="34" t="str">
        <x:v>Directional company-pattern signal: Amazon, Google, Microsoft, Walmart</x:v>
      </x:c>
      <x:c r="M31" s="49" t="str">
        <x:v>https://leetcode.com/problems/search-in-rotated-sorted-array/</x:v>
      </x:c>
      <x:c r="N31" s="51" t="str">
        <x:v>Not started</x:v>
      </x:c>
      <x:c r="O31" s="51" t="n">
        <x:v>0</x:v>
      </x:c>
      <x:c r="P31" s="51"/>
      <x:c r="Q31" s="53"/>
      <x:c r="R31" s="51"/>
      <x:c r="S31" s="34" t="str"/>
      <x:c r="T31" s="53" t="str">
        <x:f>IF(OR(Q31="",R31=""),"",Q31+IF(R31=1,1,IF(R31=2,3,IF(R31=3,7,IF(R31=4,14,30)))))</x:f>
      </x:c>
    </x:row>
    <x:row r="32" ht="46" customHeight="1">
      <x:c r="A32" s="51" t="n">
        <x:v>28</x:v>
      </x:c>
      <x:c r="B32" s="51" t="str">
        <x:v>1 - Core</x:v>
      </x:c>
      <x:c r="C32" s="51" t="str">
        <x:v>P0</x:v>
      </x:c>
      <x:c r="D32" s="34" t="str">
        <x:v>Binary Search</x:v>
      </x:c>
      <x:c r="E32" s="34" t="str">
        <x:v>Rotated minimum</x:v>
      </x:c>
      <x:c r="F32" s="51" t="n">
        <x:v>153</x:v>
      </x:c>
      <x:c r="G32" s="52" t="str">
        <x:v>Find Minimum in Rotated Sorted Array</x:v>
      </x:c>
      <x:c r="H32" s="52" t="str">
        <x:v>Medium</x:v>
      </x:c>
      <x:c r="I32" s="52" t="n">
        <x:v>27</x:v>
      </x:c>
      <x:c r="J32" s="34" t="str">
        <x:v>Compare midpoint with the right boundary</x:v>
      </x:c>
      <x:c r="K32" s="34" t="str">
        <x:v>Separates index search from monotonic answer-space search.</x:v>
      </x:c>
      <x:c r="L32" s="34" t="str">
        <x:v>Directional company-pattern signal: Amazon, Google, Microsoft, Walmart</x:v>
      </x:c>
      <x:c r="M32" s="49" t="str">
        <x:v>https://leetcode.com/problems/find-minimum-in-rotated-sorted-array/</x:v>
      </x:c>
      <x:c r="N32" s="51" t="str">
        <x:v>Not started</x:v>
      </x:c>
      <x:c r="O32" s="51" t="n">
        <x:v>0</x:v>
      </x:c>
      <x:c r="P32" s="51"/>
      <x:c r="Q32" s="53"/>
      <x:c r="R32" s="51"/>
      <x:c r="S32" s="34" t="str"/>
      <x:c r="T32" s="53" t="str">
        <x:f>IF(OR(Q32="",R32=""),"",Q32+IF(R32=1,1,IF(R32=2,3,IF(R32=3,7,IF(R32=4,14,30)))))</x:f>
      </x:c>
    </x:row>
    <x:row r="33" ht="46" customHeight="1">
      <x:c r="A33" s="51" t="n">
        <x:v>29</x:v>
      </x:c>
      <x:c r="B33" s="51" t="str">
        <x:v>1 - Core</x:v>
      </x:c>
      <x:c r="C33" s="51" t="str">
        <x:v>P0</x:v>
      </x:c>
      <x:c r="D33" s="34" t="str">
        <x:v>Binary Search</x:v>
      </x:c>
      <x:c r="E33" s="34" t="str">
        <x:v>Flattened matrix</x:v>
      </x:c>
      <x:c r="F33" s="51" t="n">
        <x:v>74</x:v>
      </x:c>
      <x:c r="G33" s="52" t="str">
        <x:v>Search a 2D Matrix</x:v>
      </x:c>
      <x:c r="H33" s="52" t="str">
        <x:v>Medium</x:v>
      </x:c>
      <x:c r="I33" s="52" t="n">
        <x:v>27</x:v>
      </x:c>
      <x:c r="J33" s="34" t="str">
        <x:v>Treat the matrix as one sorted array using index conversion</x:v>
      </x:c>
      <x:c r="K33" s="34" t="str">
        <x:v>Separates index search from monotonic answer-space search.</x:v>
      </x:c>
      <x:c r="L33" s="34" t="str">
        <x:v>Directional company-pattern signal: Amazon, Google, Microsoft, Walmart</x:v>
      </x:c>
      <x:c r="M33" s="49" t="str">
        <x:v>https://leetcode.com/problems/search-a-2d-matrix/</x:v>
      </x:c>
      <x:c r="N33" s="51" t="str">
        <x:v>Not started</x:v>
      </x:c>
      <x:c r="O33" s="51" t="n">
        <x:v>0</x:v>
      </x:c>
      <x:c r="P33" s="51"/>
      <x:c r="Q33" s="53"/>
      <x:c r="R33" s="51"/>
      <x:c r="S33" s="34" t="str"/>
      <x:c r="T33" s="53" t="str">
        <x:f>IF(OR(Q33="",R33=""),"",Q33+IF(R33=1,1,IF(R33=2,3,IF(R33=3,7,IF(R33=4,14,30)))))</x:f>
      </x:c>
    </x:row>
    <x:row r="34" ht="46" customHeight="1">
      <x:c r="A34" s="51" t="n">
        <x:v>30</x:v>
      </x:c>
      <x:c r="B34" s="51" t="str">
        <x:v>1 - Core</x:v>
      </x:c>
      <x:c r="C34" s="51" t="str">
        <x:v>P0</x:v>
      </x:c>
      <x:c r="D34" s="34" t="str">
        <x:v>Binary Search</x:v>
      </x:c>
      <x:c r="E34" s="34" t="str">
        <x:v>Binary search on answer</x:v>
      </x:c>
      <x:c r="F34" s="51" t="n">
        <x:v>875</x:v>
      </x:c>
      <x:c r="G34" s="52" t="str">
        <x:v>Koko Eating Bananas</x:v>
      </x:c>
      <x:c r="H34" s="52" t="str">
        <x:v>Medium</x:v>
      </x:c>
      <x:c r="I34" s="52" t="n">
        <x:v>27</x:v>
      </x:c>
      <x:c r="J34" s="34" t="str">
        <x:v>Feasibility is monotonic as speed increases</x:v>
      </x:c>
      <x:c r="K34" s="34" t="str">
        <x:v>Separates index search from monotonic answer-space search.</x:v>
      </x:c>
      <x:c r="L34" s="34" t="str">
        <x:v>Directional company-pattern signal: Amazon, Google, Microsoft, Walmart</x:v>
      </x:c>
      <x:c r="M34" s="49" t="str">
        <x:v>https://leetcode.com/problems/koko-eating-bananas/</x:v>
      </x:c>
      <x:c r="N34" s="51" t="str">
        <x:v>Not started</x:v>
      </x:c>
      <x:c r="O34" s="51" t="n">
        <x:v>0</x:v>
      </x:c>
      <x:c r="P34" s="51"/>
      <x:c r="Q34" s="53"/>
      <x:c r="R34" s="51"/>
      <x:c r="S34" s="34" t="str"/>
      <x:c r="T34" s="53" t="str">
        <x:f>IF(OR(Q34="",R34=""),"",Q34+IF(R34=1,1,IF(R34=2,3,IF(R34=3,7,IF(R34=4,14,30)))))</x:f>
      </x:c>
    </x:row>
    <x:row r="35" ht="46" customHeight="1">
      <x:c r="A35" s="51" t="n">
        <x:v>31</x:v>
      </x:c>
      <x:c r="B35" s="51" t="str">
        <x:v>1 - Core</x:v>
      </x:c>
      <x:c r="C35" s="51" t="str">
        <x:v>P0</x:v>
      </x:c>
      <x:c r="D35" s="34" t="str">
        <x:v>Binary Search</x:v>
      </x:c>
      <x:c r="E35" s="34" t="str">
        <x:v>Capacity feasibility</x:v>
      </x:c>
      <x:c r="F35" s="51" t="n">
        <x:v>1011</x:v>
      </x:c>
      <x:c r="G35" s="52" t="str">
        <x:v>Capacity To Ship Packages Within D Days</x:v>
      </x:c>
      <x:c r="H35" s="52" t="str">
        <x:v>Medium</x:v>
      </x:c>
      <x:c r="I35" s="52" t="n">
        <x:v>27</x:v>
      </x:c>
      <x:c r="J35" s="34" t="str">
        <x:v>Search the minimum capacity that meets the day limit</x:v>
      </x:c>
      <x:c r="K35" s="34" t="str">
        <x:v>Separates index search from monotonic answer-space search.</x:v>
      </x:c>
      <x:c r="L35" s="34" t="str">
        <x:v>Directional company-pattern signal: Amazon, Google, Microsoft, Walmart</x:v>
      </x:c>
      <x:c r="M35" s="49" t="str">
        <x:v>https://leetcode.com/problems/capacity-to-ship-packages-within-d-days/</x:v>
      </x:c>
      <x:c r="N35" s="51" t="str">
        <x:v>Not started</x:v>
      </x:c>
      <x:c r="O35" s="51" t="n">
        <x:v>0</x:v>
      </x:c>
      <x:c r="P35" s="51"/>
      <x:c r="Q35" s="53"/>
      <x:c r="R35" s="51"/>
      <x:c r="S35" s="34" t="str"/>
      <x:c r="T35" s="53" t="str">
        <x:f>IF(OR(Q35="",R35=""),"",Q35+IF(R35=1,1,IF(R35=2,3,IF(R35=3,7,IF(R35=4,14,30)))))</x:f>
      </x:c>
    </x:row>
    <x:row r="36" ht="46" customHeight="1">
      <x:c r="A36" s="51" t="n">
        <x:v>32</x:v>
      </x:c>
      <x:c r="B36" s="51" t="str">
        <x:v>2 - Depth</x:v>
      </x:c>
      <x:c r="C36" s="51" t="str">
        <x:v>P1</x:v>
      </x:c>
      <x:c r="D36" s="34" t="str">
        <x:v>Binary Search</x:v>
      </x:c>
      <x:c r="E36" s="34" t="str">
        <x:v>Local peak</x:v>
      </x:c>
      <x:c r="F36" s="51" t="n">
        <x:v>162</x:v>
      </x:c>
      <x:c r="G36" s="52" t="str">
        <x:v>Find Peak Element</x:v>
      </x:c>
      <x:c r="H36" s="52" t="str">
        <x:v>Medium</x:v>
      </x:c>
      <x:c r="I36" s="52" t="n">
        <x:v>27</x:v>
      </x:c>
      <x:c r="J36" s="34" t="str">
        <x:v>The rising direction must contain a peak</x:v>
      </x:c>
      <x:c r="K36" s="34" t="str">
        <x:v>Separates index search from monotonic answer-space search.</x:v>
      </x:c>
      <x:c r="L36" s="34" t="str">
        <x:v>Directional company-pattern signal: Amazon, Google, Microsoft, Walmart</x:v>
      </x:c>
      <x:c r="M36" s="49" t="str">
        <x:v>https://leetcode.com/problems/find-peak-element/</x:v>
      </x:c>
      <x:c r="N36" s="51" t="str">
        <x:v>Not started</x:v>
      </x:c>
      <x:c r="O36" s="51" t="n">
        <x:v>0</x:v>
      </x:c>
      <x:c r="P36" s="51"/>
      <x:c r="Q36" s="53"/>
      <x:c r="R36" s="51"/>
      <x:c r="S36" s="34" t="str"/>
      <x:c r="T36" s="53" t="str">
        <x:f>IF(OR(Q36="",R36=""),"",Q36+IF(R36=1,1,IF(R36=2,3,IF(R36=3,7,IF(R36=4,14,30)))))</x:f>
      </x:c>
    </x:row>
    <x:row r="37" ht="46" customHeight="1">
      <x:c r="A37" s="51" t="n">
        <x:v>33</x:v>
      </x:c>
      <x:c r="B37" s="51" t="str">
        <x:v>3 - Stretch</x:v>
      </x:c>
      <x:c r="C37" s="51" t="str">
        <x:v>P2</x:v>
      </x:c>
      <x:c r="D37" s="34" t="str">
        <x:v>Binary Search</x:v>
      </x:c>
      <x:c r="E37" s="34" t="str">
        <x:v>Partition two sorted arrays</x:v>
      </x:c>
      <x:c r="F37" s="51" t="n">
        <x:v>4</x:v>
      </x:c>
      <x:c r="G37" s="52" t="str">
        <x:v>Median of Two Sorted Arrays</x:v>
      </x:c>
      <x:c r="H37" s="52" t="str">
        <x:v>Hard</x:v>
      </x:c>
      <x:c r="I37" s="52" t="n">
        <x:v>42</x:v>
      </x:c>
      <x:c r="J37" s="34" t="str">
        <x:v>Binary-search a partition with valid cross-boundary ordering</x:v>
      </x:c>
      <x:c r="K37" s="34" t="str">
        <x:v>Separates index search from monotonic answer-space search.</x:v>
      </x:c>
      <x:c r="L37" s="34" t="str">
        <x:v>Directional company-pattern signal: Amazon, Google, Microsoft, Walmart</x:v>
      </x:c>
      <x:c r="M37" s="49" t="str">
        <x:v>https://leetcode.com/problems/median-of-two-sorted-arrays/</x:v>
      </x:c>
      <x:c r="N37" s="51" t="str">
        <x:v>Not started</x:v>
      </x:c>
      <x:c r="O37" s="51" t="n">
        <x:v>0</x:v>
      </x:c>
      <x:c r="P37" s="51"/>
      <x:c r="Q37" s="53"/>
      <x:c r="R37" s="51"/>
      <x:c r="S37" s="34" t="str"/>
      <x:c r="T37" s="53" t="str">
        <x:f>IF(OR(Q37="",R37=""),"",Q37+IF(R37=1,1,IF(R37=2,3,IF(R37=3,7,IF(R37=4,14,30)))))</x:f>
      </x:c>
    </x:row>
    <x:row r="38" ht="46" customHeight="1">
      <x:c r="A38" s="51" t="n">
        <x:v>34</x:v>
      </x:c>
      <x:c r="B38" s="51" t="str">
        <x:v>3 - Stretch</x:v>
      </x:c>
      <x:c r="C38" s="51" t="str">
        <x:v>P2</x:v>
      </x:c>
      <x:c r="D38" s="34" t="str">
        <x:v>Binary Search</x:v>
      </x:c>
      <x:c r="E38" s="34" t="str">
        <x:v>Minimize largest partition</x:v>
      </x:c>
      <x:c r="F38" s="51" t="n">
        <x:v>410</x:v>
      </x:c>
      <x:c r="G38" s="52" t="str">
        <x:v>Split Array Largest Sum</x:v>
      </x:c>
      <x:c r="H38" s="52" t="str">
        <x:v>Hard</x:v>
      </x:c>
      <x:c r="I38" s="52" t="n">
        <x:v>42</x:v>
      </x:c>
      <x:c r="J38" s="34" t="str">
        <x:v>Greedy feasibility makes the maximum allowed sum monotonic</x:v>
      </x:c>
      <x:c r="K38" s="34" t="str">
        <x:v>Separates index search from monotonic answer-space search.</x:v>
      </x:c>
      <x:c r="L38" s="34" t="str">
        <x:v>Directional company-pattern signal: Amazon, Google, Microsoft, Walmart</x:v>
      </x:c>
      <x:c r="M38" s="49" t="str">
        <x:v>https://leetcode.com/problems/split-array-largest-sum/</x:v>
      </x:c>
      <x:c r="N38" s="51" t="str">
        <x:v>Not started</x:v>
      </x:c>
      <x:c r="O38" s="51" t="n">
        <x:v>0</x:v>
      </x:c>
      <x:c r="P38" s="51"/>
      <x:c r="Q38" s="53"/>
      <x:c r="R38" s="51"/>
      <x:c r="S38" s="34" t="str"/>
      <x:c r="T38" s="53" t="str">
        <x:f>IF(OR(Q38="",R38=""),"",Q38+IF(R38=1,1,IF(R38=2,3,IF(R38=3,7,IF(R38=4,14,30)))))</x:f>
      </x:c>
    </x:row>
    <x:row r="39" ht="46" customHeight="1">
      <x:c r="A39" s="51" t="n">
        <x:v>35</x:v>
      </x:c>
      <x:c r="B39" s="51" t="str">
        <x:v>1 - Core</x:v>
      </x:c>
      <x:c r="C39" s="51" t="str">
        <x:v>P0</x:v>
      </x:c>
      <x:c r="D39" s="34" t="str">
        <x:v>Intervals &amp; Scheduling</x:v>
      </x:c>
      <x:c r="E39" s="34" t="str">
        <x:v>Merge overlaps</x:v>
      </x:c>
      <x:c r="F39" s="51" t="n">
        <x:v>56</x:v>
      </x:c>
      <x:c r="G39" s="52" t="str">
        <x:v>Merge Intervals</x:v>
      </x:c>
      <x:c r="H39" s="52" t="str">
        <x:v>Medium</x:v>
      </x:c>
      <x:c r="I39" s="52" t="n">
        <x:v>27</x:v>
      </x:c>
      <x:c r="J39" s="34" t="str">
        <x:v>After sorting by start, only compare with the last merged interval</x:v>
      </x:c>
      <x:c r="K39" s="34" t="str">
        <x:v>Develops sorting choices, overlap logic, and scheduling DP.</x:v>
      </x:c>
      <x:c r="L39" s="34" t="str">
        <x:v>Directional company-pattern signal: Atlassian, Google, Meta, Uber</x:v>
      </x:c>
      <x:c r="M39" s="49" t="str">
        <x:v>https://leetcode.com/problems/merge-intervals/</x:v>
      </x:c>
      <x:c r="N39" s="51" t="str">
        <x:v>Not started</x:v>
      </x:c>
      <x:c r="O39" s="51" t="n">
        <x:v>0</x:v>
      </x:c>
      <x:c r="P39" s="51"/>
      <x:c r="Q39" s="53"/>
      <x:c r="R39" s="51"/>
      <x:c r="S39" s="34" t="str"/>
      <x:c r="T39" s="53" t="str">
        <x:f>IF(OR(Q39="",R39=""),"",Q39+IF(R39=1,1,IF(R39=2,3,IF(R39=3,7,IF(R39=4,14,30)))))</x:f>
      </x:c>
    </x:row>
    <x:row r="40" ht="46" customHeight="1">
      <x:c r="A40" s="51" t="n">
        <x:v>36</x:v>
      </x:c>
      <x:c r="B40" s="51" t="str">
        <x:v>1 - Core</x:v>
      </x:c>
      <x:c r="C40" s="51" t="str">
        <x:v>P0</x:v>
      </x:c>
      <x:c r="D40" s="34" t="str">
        <x:v>Intervals &amp; Scheduling</x:v>
      </x:c>
      <x:c r="E40" s="34" t="str">
        <x:v>Insert then merge</x:v>
      </x:c>
      <x:c r="F40" s="51" t="n">
        <x:v>57</x:v>
      </x:c>
      <x:c r="G40" s="52" t="str">
        <x:v>Insert Interval</x:v>
      </x:c>
      <x:c r="H40" s="52" t="str">
        <x:v>Medium</x:v>
      </x:c>
      <x:c r="I40" s="52" t="n">
        <x:v>27</x:v>
      </x:c>
      <x:c r="J40" s="34" t="str">
        <x:v>Process before, overlapping, and after regions separately</x:v>
      </x:c>
      <x:c r="K40" s="34" t="str">
        <x:v>Develops sorting choices, overlap logic, and scheduling DP.</x:v>
      </x:c>
      <x:c r="L40" s="34" t="str">
        <x:v>Directional company-pattern signal: Atlassian, Google, Meta, Uber</x:v>
      </x:c>
      <x:c r="M40" s="49" t="str">
        <x:v>https://leetcode.com/problems/insert-interval/</x:v>
      </x:c>
      <x:c r="N40" s="51" t="str">
        <x:v>Not started</x:v>
      </x:c>
      <x:c r="O40" s="51" t="n">
        <x:v>0</x:v>
      </x:c>
      <x:c r="P40" s="51"/>
      <x:c r="Q40" s="53"/>
      <x:c r="R40" s="51"/>
      <x:c r="S40" s="34" t="str"/>
      <x:c r="T40" s="53" t="str">
        <x:f>IF(OR(Q40="",R40=""),"",Q40+IF(R40=1,1,IF(R40=2,3,IF(R40=3,7,IF(R40=4,14,30)))))</x:f>
      </x:c>
    </x:row>
    <x:row r="41" ht="46" customHeight="1">
      <x:c r="A41" s="51" t="n">
        <x:v>37</x:v>
      </x:c>
      <x:c r="B41" s="51" t="str">
        <x:v>2 - Depth</x:v>
      </x:c>
      <x:c r="C41" s="51" t="str">
        <x:v>P1</x:v>
      </x:c>
      <x:c r="D41" s="34" t="str">
        <x:v>Intervals &amp; Scheduling</x:v>
      </x:c>
      <x:c r="E41" s="34" t="str">
        <x:v>Greedy removals</x:v>
      </x:c>
      <x:c r="F41" s="51" t="n">
        <x:v>435</x:v>
      </x:c>
      <x:c r="G41" s="52" t="str">
        <x:v>Non-overlapping Intervals</x:v>
      </x:c>
      <x:c r="H41" s="52" t="str">
        <x:v>Medium</x:v>
      </x:c>
      <x:c r="I41" s="52" t="n">
        <x:v>27</x:v>
      </x:c>
      <x:c r="J41" s="34" t="str">
        <x:v>Keep the interval with the earliest ending time</x:v>
      </x:c>
      <x:c r="K41" s="34" t="str">
        <x:v>Develops sorting choices, overlap logic, and scheduling DP.</x:v>
      </x:c>
      <x:c r="L41" s="34" t="str">
        <x:v>Directional company-pattern signal: Atlassian, Google, Meta, Uber</x:v>
      </x:c>
      <x:c r="M41" s="49" t="str">
        <x:v>https://leetcode.com/problems/non-overlapping-intervals/</x:v>
      </x:c>
      <x:c r="N41" s="51" t="str">
        <x:v>Not started</x:v>
      </x:c>
      <x:c r="O41" s="51" t="n">
        <x:v>0</x:v>
      </x:c>
      <x:c r="P41" s="51"/>
      <x:c r="Q41" s="53"/>
      <x:c r="R41" s="51"/>
      <x:c r="S41" s="34" t="str"/>
      <x:c r="T41" s="53" t="str">
        <x:f>IF(OR(Q41="",R41=""),"",Q41+IF(R41=1,1,IF(R41=2,3,IF(R41=3,7,IF(R41=4,14,30)))))</x:f>
      </x:c>
    </x:row>
    <x:row r="42" ht="46" customHeight="1">
      <x:c r="A42" s="51" t="n">
        <x:v>38</x:v>
      </x:c>
      <x:c r="B42" s="51" t="str">
        <x:v>1 - Core</x:v>
      </x:c>
      <x:c r="C42" s="51" t="str">
        <x:v>P0</x:v>
      </x:c>
      <x:c r="D42" s="34" t="str">
        <x:v>Intervals &amp; Scheduling</x:v>
      </x:c>
      <x:c r="E42" s="34" t="str">
        <x:v>Greedy coverage</x:v>
      </x:c>
      <x:c r="F42" s="51" t="n">
        <x:v>452</x:v>
      </x:c>
      <x:c r="G42" s="52" t="str">
        <x:v>Minimum Number of Arrows to Burst Balloons</x:v>
      </x:c>
      <x:c r="H42" s="52" t="str">
        <x:v>Medium</x:v>
      </x:c>
      <x:c r="I42" s="52" t="n">
        <x:v>27</x:v>
      </x:c>
      <x:c r="J42" s="34" t="str">
        <x:v>One arrow at the earliest possible ending coordinate</x:v>
      </x:c>
      <x:c r="K42" s="34" t="str">
        <x:v>Develops sorting choices, overlap logic, and scheduling DP.</x:v>
      </x:c>
      <x:c r="L42" s="34" t="str">
        <x:v>Directional company-pattern signal: Atlassian, Google, Meta, Uber</x:v>
      </x:c>
      <x:c r="M42" s="49" t="str">
        <x:v>https://leetcode.com/problems/minimum-number-of-arrows-to-burst-balloons/</x:v>
      </x:c>
      <x:c r="N42" s="51" t="str">
        <x:v>Not started</x:v>
      </x:c>
      <x:c r="O42" s="51" t="n">
        <x:v>0</x:v>
      </x:c>
      <x:c r="P42" s="51"/>
      <x:c r="Q42" s="53"/>
      <x:c r="R42" s="51"/>
      <x:c r="S42" s="34" t="str"/>
      <x:c r="T42" s="53" t="str">
        <x:f>IF(OR(Q42="",R42=""),"",Q42+IF(R42=1,1,IF(R42=2,3,IF(R42=3,7,IF(R42=4,14,30)))))</x:f>
      </x:c>
    </x:row>
    <x:row r="43" ht="46" customHeight="1">
      <x:c r="A43" s="51" t="n">
        <x:v>39</x:v>
      </x:c>
      <x:c r="B43" s="51" t="str">
        <x:v>2 - Depth</x:v>
      </x:c>
      <x:c r="C43" s="51" t="str">
        <x:v>P1</x:v>
      </x:c>
      <x:c r="D43" s="34" t="str">
        <x:v>Intervals &amp; Scheduling</x:v>
      </x:c>
      <x:c r="E43" s="34" t="str">
        <x:v>Ordered event booking</x:v>
      </x:c>
      <x:c r="F43" s="51" t="n">
        <x:v>729</x:v>
      </x:c>
      <x:c r="G43" s="52" t="str">
        <x:v>My Calendar I</x:v>
      </x:c>
      <x:c r="H43" s="52" t="str">
        <x:v>Medium</x:v>
      </x:c>
      <x:c r="I43" s="52" t="n">
        <x:v>27</x:v>
      </x:c>
      <x:c r="J43" s="34" t="str">
        <x:v>A booking is valid only if it misses every existing interval</x:v>
      </x:c>
      <x:c r="K43" s="34" t="str">
        <x:v>Develops sorting choices, overlap logic, and scheduling DP.</x:v>
      </x:c>
      <x:c r="L43" s="34" t="str">
        <x:v>Directional company-pattern signal: Atlassian, Google, Meta, Uber</x:v>
      </x:c>
      <x:c r="M43" s="49" t="str">
        <x:v>https://leetcode.com/problems/my-calendar-i/</x:v>
      </x:c>
      <x:c r="N43" s="51" t="str">
        <x:v>Not started</x:v>
      </x:c>
      <x:c r="O43" s="51" t="n">
        <x:v>0</x:v>
      </x:c>
      <x:c r="P43" s="51"/>
      <x:c r="Q43" s="53"/>
      <x:c r="R43" s="51"/>
      <x:c r="S43" s="34" t="str"/>
      <x:c r="T43" s="53" t="str">
        <x:f>IF(OR(Q43="",R43=""),"",Q43+IF(R43=1,1,IF(R43=2,3,IF(R43=3,7,IF(R43=4,14,30)))))</x:f>
      </x:c>
    </x:row>
    <x:row r="44" ht="46" customHeight="1">
      <x:c r="A44" s="51" t="n">
        <x:v>40</x:v>
      </x:c>
      <x:c r="B44" s="51" t="str">
        <x:v>2 - Depth</x:v>
      </x:c>
      <x:c r="C44" s="51" t="str">
        <x:v>P1</x:v>
      </x:c>
      <x:c r="D44" s="34" t="str">
        <x:v>Intervals &amp; Scheduling</x:v>
      </x:c>
      <x:c r="E44" s="34" t="str">
        <x:v>Weighted interval DP</x:v>
      </x:c>
      <x:c r="F44" s="51" t="n">
        <x:v>1235</x:v>
      </x:c>
      <x:c r="G44" s="52" t="str">
        <x:v>Maximum Profit in Job Scheduling</x:v>
      </x:c>
      <x:c r="H44" s="52" t="str">
        <x:v>Hard</x:v>
      </x:c>
      <x:c r="I44" s="52" t="n">
        <x:v>42</x:v>
      </x:c>
      <x:c r="J44" s="34" t="str">
        <x:v>Sort jobs and jump to the next compatible start with binary search</x:v>
      </x:c>
      <x:c r="K44" s="34" t="str">
        <x:v>Develops sorting choices, overlap logic, and scheduling DP.</x:v>
      </x:c>
      <x:c r="L44" s="34" t="str">
        <x:v>Reported analogue: Atlassian campus OA (weighted job scheduling)</x:v>
      </x:c>
      <x:c r="M44" s="49" t="str">
        <x:v>https://leetcode.com/problems/maximum-profit-in-job-scheduling/</x:v>
      </x:c>
      <x:c r="N44" s="51" t="str">
        <x:v>Not started</x:v>
      </x:c>
      <x:c r="O44" s="51" t="n">
        <x:v>0</x:v>
      </x:c>
      <x:c r="P44" s="51"/>
      <x:c r="Q44" s="53"/>
      <x:c r="R44" s="51"/>
      <x:c r="S44" s="34" t="str"/>
      <x:c r="T44" s="53" t="str">
        <x:f>IF(OR(Q44="",R44=""),"",Q44+IF(R44=1,1,IF(R44=2,3,IF(R44=3,7,IF(R44=4,14,30)))))</x:f>
      </x:c>
    </x:row>
    <x:row r="45" ht="46" customHeight="1">
      <x:c r="A45" s="51" t="n">
        <x:v>41</x:v>
      </x:c>
      <x:c r="B45" s="51" t="str">
        <x:v>1 - Core</x:v>
      </x:c>
      <x:c r="C45" s="51" t="str">
        <x:v>P0</x:v>
      </x:c>
      <x:c r="D45" s="34" t="str">
        <x:v>Stack &amp; Monotonic</x:v>
      </x:c>
      <x:c r="E45" s="34" t="str">
        <x:v>Matching delimiters</x:v>
      </x:c>
      <x:c r="F45" s="51" t="n">
        <x:v>20</x:v>
      </x:c>
      <x:c r="G45" s="52" t="str">
        <x:v>Valid Parentheses</x:v>
      </x:c>
      <x:c r="H45" s="52" t="str">
        <x:v>Easy</x:v>
      </x:c>
      <x:c r="I45" s="52" t="n">
        <x:v>12</x:v>
      </x:c>
      <x:c r="J45" s="34" t="str">
        <x:v>A closing token must match the most recent unmatched opener</x:v>
      </x:c>
      <x:c r="K45" s="34" t="str">
        <x:v>Covers simulation plus next-greater and contribution patterns.</x:v>
      </x:c>
      <x:c r="L45" s="34" t="str">
        <x:v>Directional company-pattern signal: Amazon, Microsoft, Adobe, Goldman Sachs</x:v>
      </x:c>
      <x:c r="M45" s="49" t="str">
        <x:v>https://leetcode.com/problems/valid-parentheses/</x:v>
      </x:c>
      <x:c r="N45" s="51" t="str">
        <x:v>Not started</x:v>
      </x:c>
      <x:c r="O45" s="51" t="n">
        <x:v>0</x:v>
      </x:c>
      <x:c r="P45" s="51"/>
      <x:c r="Q45" s="53"/>
      <x:c r="R45" s="51"/>
      <x:c r="S45" s="34" t="str"/>
      <x:c r="T45" s="53" t="str">
        <x:f>IF(OR(Q45="",R45=""),"",Q45+IF(R45=1,1,IF(R45=2,3,IF(R45=3,7,IF(R45=4,14,30)))))</x:f>
      </x:c>
    </x:row>
    <x:row r="46" ht="46" customHeight="1">
      <x:c r="A46" s="51" t="n">
        <x:v>42</x:v>
      </x:c>
      <x:c r="B46" s="51" t="str">
        <x:v>1 - Core</x:v>
      </x:c>
      <x:c r="C46" s="51" t="str">
        <x:v>P0</x:v>
      </x:c>
      <x:c r="D46" s="34" t="str">
        <x:v>Stack &amp; Monotonic</x:v>
      </x:c>
      <x:c r="E46" s="34" t="str">
        <x:v>Stack with aggregate</x:v>
      </x:c>
      <x:c r="F46" s="51" t="n">
        <x:v>155</x:v>
      </x:c>
      <x:c r="G46" s="52" t="str">
        <x:v>Min Stack</x:v>
      </x:c>
      <x:c r="H46" s="52" t="str">
        <x:v>Medium</x:v>
      </x:c>
      <x:c r="I46" s="52" t="n">
        <x:v>27</x:v>
      </x:c>
      <x:c r="J46" s="34" t="str">
        <x:v>Store the running minimum alongside each pushed value</x:v>
      </x:c>
      <x:c r="K46" s="34" t="str">
        <x:v>Covers simulation plus next-greater and contribution patterns.</x:v>
      </x:c>
      <x:c r="L46" s="34" t="str">
        <x:v>Directional company-pattern signal: Amazon, Microsoft, Adobe, Goldman Sachs</x:v>
      </x:c>
      <x:c r="M46" s="49" t="str">
        <x:v>https://leetcode.com/problems/min-stack/</x:v>
      </x:c>
      <x:c r="N46" s="51" t="str">
        <x:v>Not started</x:v>
      </x:c>
      <x:c r="O46" s="51" t="n">
        <x:v>0</x:v>
      </x:c>
      <x:c r="P46" s="51"/>
      <x:c r="Q46" s="53"/>
      <x:c r="R46" s="51"/>
      <x:c r="S46" s="34" t="str"/>
      <x:c r="T46" s="53" t="str">
        <x:f>IF(OR(Q46="",R46=""),"",Q46+IF(R46=1,1,IF(R46=2,3,IF(R46=3,7,IF(R46=4,14,30)))))</x:f>
      </x:c>
    </x:row>
    <x:row r="47" ht="46" customHeight="1">
      <x:c r="A47" s="51" t="n">
        <x:v>43</x:v>
      </x:c>
      <x:c r="B47" s="51" t="str">
        <x:v>1 - Core</x:v>
      </x:c>
      <x:c r="C47" s="51" t="str">
        <x:v>P0</x:v>
      </x:c>
      <x:c r="D47" s="34" t="str">
        <x:v>Stack &amp; Monotonic</x:v>
      </x:c>
      <x:c r="E47" s="34" t="str">
        <x:v>Next greater element</x:v>
      </x:c>
      <x:c r="F47" s="51" t="n">
        <x:v>739</x:v>
      </x:c>
      <x:c r="G47" s="52" t="str">
        <x:v>Daily Temperatures</x:v>
      </x:c>
      <x:c r="H47" s="52" t="str">
        <x:v>Medium</x:v>
      </x:c>
      <x:c r="I47" s="52" t="n">
        <x:v>27</x:v>
      </x:c>
      <x:c r="J47" s="34" t="str">
        <x:v>Maintain unresolved indices in decreasing-temperature order</x:v>
      </x:c>
      <x:c r="K47" s="34" t="str">
        <x:v>Covers simulation plus next-greater and contribution patterns.</x:v>
      </x:c>
      <x:c r="L47" s="34" t="str">
        <x:v>Directional company-pattern signal: Amazon, Microsoft, Adobe, Goldman Sachs</x:v>
      </x:c>
      <x:c r="M47" s="49" t="str">
        <x:v>https://leetcode.com/problems/daily-temperatures/</x:v>
      </x:c>
      <x:c r="N47" s="51" t="str">
        <x:v>Not started</x:v>
      </x:c>
      <x:c r="O47" s="51" t="n">
        <x:v>0</x:v>
      </x:c>
      <x:c r="P47" s="51"/>
      <x:c r="Q47" s="53"/>
      <x:c r="R47" s="51"/>
      <x:c r="S47" s="34" t="str"/>
      <x:c r="T47" s="53" t="str">
        <x:f>IF(OR(Q47="",R47=""),"",Q47+IF(R47=1,1,IF(R47=2,3,IF(R47=3,7,IF(R47=4,14,30)))))</x:f>
      </x:c>
    </x:row>
    <x:row r="48" ht="46" customHeight="1">
      <x:c r="A48" s="51" t="n">
        <x:v>44</x:v>
      </x:c>
      <x:c r="B48" s="51" t="str">
        <x:v>2 - Depth</x:v>
      </x:c>
      <x:c r="C48" s="51" t="str">
        <x:v>P1</x:v>
      </x:c>
      <x:c r="D48" s="34" t="str">
        <x:v>Stack &amp; Monotonic</x:v>
      </x:c>
      <x:c r="E48" s="34" t="str">
        <x:v>Largest rectangle by boundary</x:v>
      </x:c>
      <x:c r="F48" s="51" t="n">
        <x:v>84</x:v>
      </x:c>
      <x:c r="G48" s="52" t="str">
        <x:v>Largest Rectangle in Histogram</x:v>
      </x:c>
      <x:c r="H48" s="52" t="str">
        <x:v>Hard</x:v>
      </x:c>
      <x:c r="I48" s="52" t="n">
        <x:v>42</x:v>
      </x:c>
      <x:c r="J48" s="34" t="str">
        <x:v>A lower bar finalizes rectangles of taller stacked bars</x:v>
      </x:c>
      <x:c r="K48" s="34" t="str">
        <x:v>Covers simulation plus next-greater and contribution patterns.</x:v>
      </x:c>
      <x:c r="L48" s="34" t="str">
        <x:v>Directional company-pattern signal: Amazon, Microsoft, Adobe, Goldman Sachs</x:v>
      </x:c>
      <x:c r="M48" s="49" t="str">
        <x:v>https://leetcode.com/problems/largest-rectangle-in-histogram/</x:v>
      </x:c>
      <x:c r="N48" s="51" t="str">
        <x:v>Not started</x:v>
      </x:c>
      <x:c r="O48" s="51" t="n">
        <x:v>0</x:v>
      </x:c>
      <x:c r="P48" s="51"/>
      <x:c r="Q48" s="53"/>
      <x:c r="R48" s="51"/>
      <x:c r="S48" s="34" t="str"/>
      <x:c r="T48" s="53" t="str">
        <x:f>IF(OR(Q48="",R48=""),"",Q48+IF(R48=1,1,IF(R48=2,3,IF(R48=3,7,IF(R48=4,14,30)))))</x:f>
      </x:c>
    </x:row>
    <x:row r="49" ht="46" customHeight="1">
      <x:c r="A49" s="51" t="n">
        <x:v>45</x:v>
      </x:c>
      <x:c r="B49" s="51" t="str">
        <x:v>2 - Depth</x:v>
      </x:c>
      <x:c r="C49" s="51" t="str">
        <x:v>P1</x:v>
      </x:c>
      <x:c r="D49" s="34" t="str">
        <x:v>Stack &amp; Monotonic</x:v>
      </x:c>
      <x:c r="E49" s="34" t="str">
        <x:v>Circular next greater</x:v>
      </x:c>
      <x:c r="F49" s="51" t="n">
        <x:v>503</x:v>
      </x:c>
      <x:c r="G49" s="52" t="str">
        <x:v>Next Greater Element II</x:v>
      </x:c>
      <x:c r="H49" s="52" t="str">
        <x:v>Medium</x:v>
      </x:c>
      <x:c r="I49" s="52" t="n">
        <x:v>27</x:v>
      </x:c>
      <x:c r="J49" s="34" t="str">
        <x:v>Traverse twice while pushing indices only in the first pass</x:v>
      </x:c>
      <x:c r="K49" s="34" t="str">
        <x:v>Covers simulation plus next-greater and contribution patterns.</x:v>
      </x:c>
      <x:c r="L49" s="34" t="str">
        <x:v>Directional company-pattern signal: Amazon, Microsoft, Adobe, Goldman Sachs</x:v>
      </x:c>
      <x:c r="M49" s="49" t="str">
        <x:v>https://leetcode.com/problems/next-greater-element-ii/</x:v>
      </x:c>
      <x:c r="N49" s="51" t="str">
        <x:v>Not started</x:v>
      </x:c>
      <x:c r="O49" s="51" t="n">
        <x:v>0</x:v>
      </x:c>
      <x:c r="P49" s="51"/>
      <x:c r="Q49" s="53"/>
      <x:c r="R49" s="51"/>
      <x:c r="S49" s="34" t="str"/>
      <x:c r="T49" s="53" t="str">
        <x:f>IF(OR(Q49="",R49=""),"",Q49+IF(R49=1,1,IF(R49=2,3,IF(R49=3,7,IF(R49=4,14,30)))))</x:f>
      </x:c>
    </x:row>
    <x:row r="50" ht="46" customHeight="1">
      <x:c r="A50" s="51" t="n">
        <x:v>46</x:v>
      </x:c>
      <x:c r="B50" s="51" t="str">
        <x:v>1 - Core</x:v>
      </x:c>
      <x:c r="C50" s="51" t="str">
        <x:v>P0</x:v>
      </x:c>
      <x:c r="D50" s="34" t="str">
        <x:v>Stack &amp; Monotonic</x:v>
      </x:c>
      <x:c r="E50" s="34" t="str">
        <x:v>Collision simulation</x:v>
      </x:c>
      <x:c r="F50" s="51" t="n">
        <x:v>735</x:v>
      </x:c>
      <x:c r="G50" s="52" t="str">
        <x:v>Asteroid Collision</x:v>
      </x:c>
      <x:c r="H50" s="52" t="str">
        <x:v>Medium</x:v>
      </x:c>
      <x:c r="I50" s="52" t="n">
        <x:v>27</x:v>
      </x:c>
      <x:c r="J50" s="34" t="str">
        <x:v>Only a right-moving stack top can collide with a new left mover</x:v>
      </x:c>
      <x:c r="K50" s="34" t="str">
        <x:v>Covers simulation plus next-greater and contribution patterns.</x:v>
      </x:c>
      <x:c r="L50" s="34" t="str">
        <x:v>Directional company-pattern signal: Amazon, Microsoft, Adobe, Goldman Sachs</x:v>
      </x:c>
      <x:c r="M50" s="49" t="str">
        <x:v>https://leetcode.com/problems/asteroid-collision/</x:v>
      </x:c>
      <x:c r="N50" s="51" t="str">
        <x:v>Not started</x:v>
      </x:c>
      <x:c r="O50" s="51" t="n">
        <x:v>0</x:v>
      </x:c>
      <x:c r="P50" s="51"/>
      <x:c r="Q50" s="53"/>
      <x:c r="R50" s="51"/>
      <x:c r="S50" s="34" t="str"/>
      <x:c r="T50" s="53" t="str">
        <x:f>IF(OR(Q50="",R50=""),"",Q50+IF(R50=1,1,IF(R50=2,3,IF(R50=3,7,IF(R50=4,14,30)))))</x:f>
      </x:c>
    </x:row>
    <x:row r="51" ht="46" customHeight="1">
      <x:c r="A51" s="51" t="n">
        <x:v>47</x:v>
      </x:c>
      <x:c r="B51" s="51" t="str">
        <x:v>3 - Stretch</x:v>
      </x:c>
      <x:c r="C51" s="51" t="str">
        <x:v>P2</x:v>
      </x:c>
      <x:c r="D51" s="34" t="str">
        <x:v>Stack &amp; Monotonic</x:v>
      </x:c>
      <x:c r="E51" s="34" t="str">
        <x:v>Contribution counting</x:v>
      </x:c>
      <x:c r="F51" s="51" t="n">
        <x:v>907</x:v>
      </x:c>
      <x:c r="G51" s="52" t="str">
        <x:v>Sum of Subarray Minimums</x:v>
      </x:c>
      <x:c r="H51" s="52" t="str">
        <x:v>Medium</x:v>
      </x:c>
      <x:c r="I51" s="52" t="n">
        <x:v>27</x:v>
      </x:c>
      <x:c r="J51" s="34" t="str">
        <x:v>Count subarrays where each element is the chosen minimum</x:v>
      </x:c>
      <x:c r="K51" s="34" t="str">
        <x:v>Covers simulation plus next-greater and contribution patterns.</x:v>
      </x:c>
      <x:c r="L51" s="34" t="str">
        <x:v>Directional company-pattern signal: Amazon, Microsoft, Adobe, Goldman Sachs</x:v>
      </x:c>
      <x:c r="M51" s="49" t="str">
        <x:v>https://leetcode.com/problems/sum-of-subarray-minimums/</x:v>
      </x:c>
      <x:c r="N51" s="51" t="str">
        <x:v>Not started</x:v>
      </x:c>
      <x:c r="O51" s="51" t="n">
        <x:v>0</x:v>
      </x:c>
      <x:c r="P51" s="51"/>
      <x:c r="Q51" s="53"/>
      <x:c r="R51" s="51"/>
      <x:c r="S51" s="34" t="str"/>
      <x:c r="T51" s="53" t="str">
        <x:f>IF(OR(Q51="",R51=""),"",Q51+IF(R51=1,1,IF(R51=2,3,IF(R51=3,7,IF(R51=4,14,30)))))</x:f>
      </x:c>
    </x:row>
    <x:row r="52" ht="46" customHeight="1">
      <x:c r="A52" s="51" t="n">
        <x:v>48</x:v>
      </x:c>
      <x:c r="B52" s="51" t="str">
        <x:v>1 - Core</x:v>
      </x:c>
      <x:c r="C52" s="51" t="str">
        <x:v>P0</x:v>
      </x:c>
      <x:c r="D52" s="34" t="str">
        <x:v>Heap &amp; Greedy</x:v>
      </x:c>
      <x:c r="E52" s="34" t="str">
        <x:v>Selection / quickselect</x:v>
      </x:c>
      <x:c r="F52" s="51" t="n">
        <x:v>215</x:v>
      </x:c>
      <x:c r="G52" s="52" t="str">
        <x:v>Kth Largest Element in an Array</x:v>
      </x:c>
      <x:c r="H52" s="52" t="str">
        <x:v>Medium</x:v>
      </x:c>
      <x:c r="I52" s="52" t="n">
        <x:v>27</x:v>
      </x:c>
      <x:c r="J52" s="34" t="str">
        <x:v>Use a size-k heap or partition until the kth position</x:v>
      </x:c>
      <x:c r="K52" s="34" t="str">
        <x:v>Trains online selection, resource allocation, and scheduling.</x:v>
      </x:c>
      <x:c r="L52" s="34" t="str">
        <x:v>Directional company-pattern signal: Amazon, Google, Uber, Walmart</x:v>
      </x:c>
      <x:c r="M52" s="49" t="str">
        <x:v>https://leetcode.com/problems/kth-largest-element-in-an-array/</x:v>
      </x:c>
      <x:c r="N52" s="51" t="str">
        <x:v>Not started</x:v>
      </x:c>
      <x:c r="O52" s="51" t="n">
        <x:v>0</x:v>
      </x:c>
      <x:c r="P52" s="51"/>
      <x:c r="Q52" s="53"/>
      <x:c r="R52" s="51"/>
      <x:c r="S52" s="34" t="str"/>
      <x:c r="T52" s="53" t="str">
        <x:f>IF(OR(Q52="",R52=""),"",Q52+IF(R52=1,1,IF(R52=2,3,IF(R52=3,7,IF(R52=4,14,30)))))</x:f>
      </x:c>
    </x:row>
    <x:row r="53" ht="46" customHeight="1">
      <x:c r="A53" s="51" t="n">
        <x:v>49</x:v>
      </x:c>
      <x:c r="B53" s="51" t="str">
        <x:v>1 - Core</x:v>
      </x:c>
      <x:c r="C53" s="51" t="str">
        <x:v>P0</x:v>
      </x:c>
      <x:c r="D53" s="34" t="str">
        <x:v>Heap &amp; Greedy</x:v>
      </x:c>
      <x:c r="E53" s="34" t="str">
        <x:v>Top-k geometry</x:v>
      </x:c>
      <x:c r="F53" s="51" t="n">
        <x:v>973</x:v>
      </x:c>
      <x:c r="G53" s="52" t="str">
        <x:v>K Closest Points to Origin</x:v>
      </x:c>
      <x:c r="H53" s="52" t="str">
        <x:v>Medium</x:v>
      </x:c>
      <x:c r="I53" s="52" t="n">
        <x:v>27</x:v>
      </x:c>
      <x:c r="J53" s="34" t="str">
        <x:v>Only relative squared distance matters</x:v>
      </x:c>
      <x:c r="K53" s="34" t="str">
        <x:v>Trains online selection, resource allocation, and scheduling.</x:v>
      </x:c>
      <x:c r="L53" s="34" t="str">
        <x:v>Directional company-pattern signal: Amazon, Google, Uber, Walmart</x:v>
      </x:c>
      <x:c r="M53" s="49" t="str">
        <x:v>https://leetcode.com/problems/k-closest-points-to-origin/</x:v>
      </x:c>
      <x:c r="N53" s="51" t="str">
        <x:v>Not started</x:v>
      </x:c>
      <x:c r="O53" s="51" t="n">
        <x:v>0</x:v>
      </x:c>
      <x:c r="P53" s="51"/>
      <x:c r="Q53" s="53"/>
      <x:c r="R53" s="51"/>
      <x:c r="S53" s="34" t="str"/>
      <x:c r="T53" s="53" t="str">
        <x:f>IF(OR(Q53="",R53=""),"",Q53+IF(R53=1,1,IF(R53=2,3,IF(R53=3,7,IF(R53=4,14,30)))))</x:f>
      </x:c>
    </x:row>
    <x:row r="54" ht="46" customHeight="1">
      <x:c r="A54" s="51" t="n">
        <x:v>50</x:v>
      </x:c>
      <x:c r="B54" s="51" t="str">
        <x:v>1 - Core</x:v>
      </x:c>
      <x:c r="C54" s="51" t="str">
        <x:v>P0</x:v>
      </x:c>
      <x:c r="D54" s="34" t="str">
        <x:v>Heap &amp; Greedy</x:v>
      </x:c>
      <x:c r="E54" s="34" t="str">
        <x:v>Frequency scheduling</x:v>
      </x:c>
      <x:c r="F54" s="51" t="n">
        <x:v>621</x:v>
      </x:c>
      <x:c r="G54" s="52" t="str">
        <x:v>Task Scheduler</x:v>
      </x:c>
      <x:c r="H54" s="52" t="str">
        <x:v>Medium</x:v>
      </x:c>
      <x:c r="I54" s="52" t="n">
        <x:v>27</x:v>
      </x:c>
      <x:c r="J54" s="34" t="str">
        <x:v>The most frequent task determines the idle-frame lower bound</x:v>
      </x:c>
      <x:c r="K54" s="34" t="str">
        <x:v>Trains online selection, resource allocation, and scheduling.</x:v>
      </x:c>
      <x:c r="L54" s="34" t="str">
        <x:v>Directional company-pattern signal: Amazon, Google, Uber, Walmart</x:v>
      </x:c>
      <x:c r="M54" s="49" t="str">
        <x:v>https://leetcode.com/problems/task-scheduler/</x:v>
      </x:c>
      <x:c r="N54" s="51" t="str">
        <x:v>Not started</x:v>
      </x:c>
      <x:c r="O54" s="51" t="n">
        <x:v>0</x:v>
      </x:c>
      <x:c r="P54" s="51"/>
      <x:c r="Q54" s="53"/>
      <x:c r="R54" s="51"/>
      <x:c r="S54" s="34" t="str"/>
      <x:c r="T54" s="53" t="str">
        <x:f>IF(OR(Q54="",R54=""),"",Q54+IF(R54=1,1,IF(R54=2,3,IF(R54=3,7,IF(R54=4,14,30)))))</x:f>
      </x:c>
    </x:row>
    <x:row r="55" ht="46" customHeight="1">
      <x:c r="A55" s="51" t="n">
        <x:v>51</x:v>
      </x:c>
      <x:c r="B55" s="51" t="str">
        <x:v>2 - Depth</x:v>
      </x:c>
      <x:c r="C55" s="51" t="str">
        <x:v>P1</x:v>
      </x:c>
      <x:c r="D55" s="34" t="str">
        <x:v>Heap &amp; Greedy</x:v>
      </x:c>
      <x:c r="E55" s="34" t="str">
        <x:v>Greedy character placement</x:v>
      </x:c>
      <x:c r="F55" s="51" t="n">
        <x:v>767</x:v>
      </x:c>
      <x:c r="G55" s="52" t="str">
        <x:v>Reorganize String</x:v>
      </x:c>
      <x:c r="H55" s="52" t="str">
        <x:v>Medium</x:v>
      </x:c>
      <x:c r="I55" s="52" t="n">
        <x:v>27</x:v>
      </x:c>
      <x:c r="J55" s="34" t="str">
        <x:v>Always choose the most frequent currently allowed character</x:v>
      </x:c>
      <x:c r="K55" s="34" t="str">
        <x:v>Trains online selection, resource allocation, and scheduling.</x:v>
      </x:c>
      <x:c r="L55" s="34" t="str">
        <x:v>Directional company-pattern signal: Amazon, Google, Uber, Walmart</x:v>
      </x:c>
      <x:c r="M55" s="49" t="str">
        <x:v>https://leetcode.com/problems/reorganize-string/</x:v>
      </x:c>
      <x:c r="N55" s="51" t="str">
        <x:v>Not started</x:v>
      </x:c>
      <x:c r="O55" s="51" t="n">
        <x:v>0</x:v>
      </x:c>
      <x:c r="P55" s="51"/>
      <x:c r="Q55" s="53"/>
      <x:c r="R55" s="51"/>
      <x:c r="S55" s="34" t="str"/>
      <x:c r="T55" s="53" t="str">
        <x:f>IF(OR(Q55="",R55=""),"",Q55+IF(R55=1,1,IF(R55=2,3,IF(R55=3,7,IF(R55=4,14,30)))))</x:f>
      </x:c>
    </x:row>
    <x:row r="56" ht="46" customHeight="1">
      <x:c r="A56" s="51" t="n">
        <x:v>52</x:v>
      </x:c>
      <x:c r="B56" s="51" t="str">
        <x:v>3 - Stretch</x:v>
      </x:c>
      <x:c r="C56" s="51" t="str">
        <x:v>P2</x:v>
      </x:c>
      <x:c r="D56" s="34" t="str">
        <x:v>Heap &amp; Greedy</x:v>
      </x:c>
      <x:c r="E56" s="34" t="str">
        <x:v>Two heaps / capital unlock</x:v>
      </x:c>
      <x:c r="F56" s="51" t="n">
        <x:v>502</x:v>
      </x:c>
      <x:c r="G56" s="52" t="str">
        <x:v>IPO</x:v>
      </x:c>
      <x:c r="H56" s="52" t="str">
        <x:v>Hard</x:v>
      </x:c>
      <x:c r="I56" s="52" t="n">
        <x:v>42</x:v>
      </x:c>
      <x:c r="J56" s="34" t="str">
        <x:v>Sort by capital and greedily take maximum profit among unlocked projects</x:v>
      </x:c>
      <x:c r="K56" s="34" t="str">
        <x:v>Trains online selection, resource allocation, and scheduling.</x:v>
      </x:c>
      <x:c r="L56" s="34" t="str">
        <x:v>Directional company-pattern signal: Amazon, Google, Uber, Walmart</x:v>
      </x:c>
      <x:c r="M56" s="49" t="str">
        <x:v>https://leetcode.com/problems/ipo/</x:v>
      </x:c>
      <x:c r="N56" s="51" t="str">
        <x:v>Not started</x:v>
      </x:c>
      <x:c r="O56" s="51" t="n">
        <x:v>0</x:v>
      </x:c>
      <x:c r="P56" s="51"/>
      <x:c r="Q56" s="53"/>
      <x:c r="R56" s="51"/>
      <x:c r="S56" s="34" t="str"/>
      <x:c r="T56" s="53" t="str">
        <x:f>IF(OR(Q56="",R56=""),"",Q56+IF(R56=1,1,IF(R56=2,3,IF(R56=3,7,IF(R56=4,14,30)))))</x:f>
      </x:c>
    </x:row>
    <x:row r="57" ht="46" customHeight="1">
      <x:c r="A57" s="51" t="n">
        <x:v>53</x:v>
      </x:c>
      <x:c r="B57" s="51" t="str">
        <x:v>3 - Stretch</x:v>
      </x:c>
      <x:c r="C57" s="51" t="str">
        <x:v>P2</x:v>
      </x:c>
      <x:c r="D57" s="34" t="str">
        <x:v>Heap &amp; Greedy</x:v>
      </x:c>
      <x:c r="E57" s="34" t="str">
        <x:v>Ratio ordering</x:v>
      </x:c>
      <x:c r="F57" s="51" t="n">
        <x:v>857</x:v>
      </x:c>
      <x:c r="G57" s="52" t="str">
        <x:v>Minimum Cost to Hire K Workers</x:v>
      </x:c>
      <x:c r="H57" s="52" t="str">
        <x:v>Hard</x:v>
      </x:c>
      <x:c r="I57" s="52" t="n">
        <x:v>42</x:v>
      </x:c>
      <x:c r="J57" s="34" t="str">
        <x:v>Sort by required wage-quality ratio and control total quality with a heap</x:v>
      </x:c>
      <x:c r="K57" s="34" t="str">
        <x:v>Trains online selection, resource allocation, and scheduling.</x:v>
      </x:c>
      <x:c r="L57" s="34" t="str">
        <x:v>Directional company-pattern signal: Amazon, Google, Uber, Walmart</x:v>
      </x:c>
      <x:c r="M57" s="49" t="str">
        <x:v>https://leetcode.com/problems/minimum-cost-to-hire-k-workers/</x:v>
      </x:c>
      <x:c r="N57" s="51" t="str">
        <x:v>Not started</x:v>
      </x:c>
      <x:c r="O57" s="51" t="n">
        <x:v>0</x:v>
      </x:c>
      <x:c r="P57" s="51"/>
      <x:c r="Q57" s="53"/>
      <x:c r="R57" s="51"/>
      <x:c r="S57" s="34" t="str"/>
      <x:c r="T57" s="53" t="str">
        <x:f>IF(OR(Q57="",R57=""),"",Q57+IF(R57=1,1,IF(R57=2,3,IF(R57=3,7,IF(R57=4,14,30)))))</x:f>
      </x:c>
    </x:row>
    <x:row r="58" ht="46" customHeight="1">
      <x:c r="A58" s="51" t="n">
        <x:v>54</x:v>
      </x:c>
      <x:c r="B58" s="51" t="str">
        <x:v>2 - Depth</x:v>
      </x:c>
      <x:c r="C58" s="51" t="str">
        <x:v>P1</x:v>
      </x:c>
      <x:c r="D58" s="34" t="str">
        <x:v>Heap &amp; Greedy</x:v>
      </x:c>
      <x:c r="E58" s="34" t="str">
        <x:v>Resource allocation</x:v>
      </x:c>
      <x:c r="F58" s="51" t="n">
        <x:v>1642</x:v>
      </x:c>
      <x:c r="G58" s="52" t="str">
        <x:v>Furthest Building You Can Reach</x:v>
      </x:c>
      <x:c r="H58" s="52" t="str">
        <x:v>Medium</x:v>
      </x:c>
      <x:c r="I58" s="52" t="n">
        <x:v>27</x:v>
      </x:c>
      <x:c r="J58" s="34" t="str">
        <x:v>Use ladders for largest climbs and bricks for smaller ones</x:v>
      </x:c>
      <x:c r="K58" s="34" t="str">
        <x:v>Trains online selection, resource allocation, and scheduling.</x:v>
      </x:c>
      <x:c r="L58" s="34" t="str">
        <x:v>Directional company-pattern signal: Amazon, Google, Uber, Walmart</x:v>
      </x:c>
      <x:c r="M58" s="49" t="str">
        <x:v>https://leetcode.com/problems/furthest-building-you-can-reach/</x:v>
      </x:c>
      <x:c r="N58" s="51" t="str">
        <x:v>Not started</x:v>
      </x:c>
      <x:c r="O58" s="51" t="n">
        <x:v>0</x:v>
      </x:c>
      <x:c r="P58" s="51"/>
      <x:c r="Q58" s="53"/>
      <x:c r="R58" s="51"/>
      <x:c r="S58" s="34" t="str"/>
      <x:c r="T58" s="53" t="str">
        <x:f>IF(OR(Q58="",R58=""),"",Q58+IF(R58=1,1,IF(R58=2,3,IF(R58=3,7,IF(R58=4,14,30)))))</x:f>
      </x:c>
    </x:row>
    <x:row r="59" ht="46" customHeight="1">
      <x:c r="A59" s="51" t="n">
        <x:v>55</x:v>
      </x:c>
      <x:c r="B59" s="51" t="str">
        <x:v>2 - Depth</x:v>
      </x:c>
      <x:c r="C59" s="51" t="str">
        <x:v>P1</x:v>
      </x:c>
      <x:c r="D59" s="34" t="str">
        <x:v>Heap &amp; Greedy</x:v>
      </x:c>
      <x:c r="E59" s="34" t="str">
        <x:v>Multi-room scheduling</x:v>
      </x:c>
      <x:c r="F59" s="51" t="n">
        <x:v>2402</x:v>
      </x:c>
      <x:c r="G59" s="52" t="str">
        <x:v>Meeting Rooms III</x:v>
      </x:c>
      <x:c r="H59" s="52" t="str">
        <x:v>Hard</x:v>
      </x:c>
      <x:c r="I59" s="52" t="n">
        <x:v>42</x:v>
      </x:c>
      <x:c r="J59" s="34" t="str">
        <x:v>Coordinate an available-room heap with a busy-room heap</x:v>
      </x:c>
      <x:c r="K59" s="34" t="str">
        <x:v>Trains online selection, resource allocation, and scheduling.</x:v>
      </x:c>
      <x:c r="L59" s="34" t="str">
        <x:v>Directional company-pattern signal: Amazon, Google, Uber, Walmart</x:v>
      </x:c>
      <x:c r="M59" s="49" t="str">
        <x:v>https://leetcode.com/problems/meeting-rooms-iii/</x:v>
      </x:c>
      <x:c r="N59" s="51" t="str">
        <x:v>Not started</x:v>
      </x:c>
      <x:c r="O59" s="51" t="n">
        <x:v>0</x:v>
      </x:c>
      <x:c r="P59" s="51"/>
      <x:c r="Q59" s="53"/>
      <x:c r="R59" s="51"/>
      <x:c r="S59" s="34" t="str"/>
      <x:c r="T59" s="53" t="str">
        <x:f>IF(OR(Q59="",R59=""),"",Q59+IF(R59=1,1,IF(R59=2,3,IF(R59=3,7,IF(R59=4,14,30)))))</x:f>
      </x:c>
    </x:row>
    <x:row r="60" ht="46" customHeight="1">
      <x:c r="A60" s="51" t="n">
        <x:v>56</x:v>
      </x:c>
      <x:c r="B60" s="51" t="str">
        <x:v>1 - Core</x:v>
      </x:c>
      <x:c r="C60" s="51" t="str">
        <x:v>P0</x:v>
      </x:c>
      <x:c r="D60" s="34" t="str">
        <x:v>Linked List &amp; Design</x:v>
      </x:c>
      <x:c r="E60" s="34" t="str">
        <x:v>Pointer reversal</x:v>
      </x:c>
      <x:c r="F60" s="51" t="n">
        <x:v>206</x:v>
      </x:c>
      <x:c r="G60" s="52" t="str">
        <x:v>Reverse Linked List</x:v>
      </x:c>
      <x:c r="H60" s="52" t="str">
        <x:v>Easy</x:v>
      </x:c>
      <x:c r="I60" s="52" t="n">
        <x:v>12</x:v>
      </x:c>
      <x:c r="J60" s="34" t="str">
        <x:v>Preserve next before redirecting the current pointer</x:v>
      </x:c>
      <x:c r="K60" s="34" t="str">
        <x:v>Tests pointer safety and O(1) data-structure operations.</x:v>
      </x:c>
      <x:c r="L60" s="34" t="str">
        <x:v>Directional company-pattern signal: Amazon, Microsoft, Meta, Adobe</x:v>
      </x:c>
      <x:c r="M60" s="49" t="str">
        <x:v>https://leetcode.com/problems/reverse-linked-list/</x:v>
      </x:c>
      <x:c r="N60" s="51" t="str">
        <x:v>Not started</x:v>
      </x:c>
      <x:c r="O60" s="51" t="n">
        <x:v>0</x:v>
      </x:c>
      <x:c r="P60" s="51"/>
      <x:c r="Q60" s="53"/>
      <x:c r="R60" s="51"/>
      <x:c r="S60" s="34" t="str"/>
      <x:c r="T60" s="53" t="str">
        <x:f>IF(OR(Q60="",R60=""),"",Q60+IF(R60=1,1,IF(R60=2,3,IF(R60=3,7,IF(R60=4,14,30)))))</x:f>
      </x:c>
    </x:row>
    <x:row r="61" ht="46" customHeight="1">
      <x:c r="A61" s="51" t="n">
        <x:v>57</x:v>
      </x:c>
      <x:c r="B61" s="51" t="str">
        <x:v>2 - Depth</x:v>
      </x:c>
      <x:c r="C61" s="51" t="str">
        <x:v>P1</x:v>
      </x:c>
      <x:c r="D61" s="34" t="str">
        <x:v>Linked List &amp; Design</x:v>
      </x:c>
      <x:c r="E61" s="34" t="str">
        <x:v>K-way merge</x:v>
      </x:c>
      <x:c r="F61" s="51" t="n">
        <x:v>23</x:v>
      </x:c>
      <x:c r="G61" s="52" t="str">
        <x:v>Merge k Sorted Lists</x:v>
      </x:c>
      <x:c r="H61" s="52" t="str">
        <x:v>Hard</x:v>
      </x:c>
      <x:c r="I61" s="52" t="n">
        <x:v>42</x:v>
      </x:c>
      <x:c r="J61" s="34" t="str">
        <x:v>A min-heap exposes the smallest current list head</x:v>
      </x:c>
      <x:c r="K61" s="34" t="str">
        <x:v>Tests pointer safety and O(1) data-structure operations.</x:v>
      </x:c>
      <x:c r="L61" s="34" t="str">
        <x:v>Directional company-pattern signal: Amazon, Microsoft, Meta, Adobe</x:v>
      </x:c>
      <x:c r="M61" s="49" t="str">
        <x:v>https://leetcode.com/problems/merge-k-sorted-lists/</x:v>
      </x:c>
      <x:c r="N61" s="51" t="str">
        <x:v>Not started</x:v>
      </x:c>
      <x:c r="O61" s="51" t="n">
        <x:v>0</x:v>
      </x:c>
      <x:c r="P61" s="51"/>
      <x:c r="Q61" s="53"/>
      <x:c r="R61" s="51"/>
      <x:c r="S61" s="34" t="str"/>
      <x:c r="T61" s="53" t="str">
        <x:f>IF(OR(Q61="",R61=""),"",Q61+IF(R61=1,1,IF(R61=2,3,IF(R61=3,7,IF(R61=4,14,30)))))</x:f>
      </x:c>
    </x:row>
    <x:row r="62" ht="46" customHeight="1">
      <x:c r="A62" s="51" t="n">
        <x:v>58</x:v>
      </x:c>
      <x:c r="B62" s="51" t="str">
        <x:v>1 - Core</x:v>
      </x:c>
      <x:c r="C62" s="51" t="str">
        <x:v>P0</x:v>
      </x:c>
      <x:c r="D62" s="34" t="str">
        <x:v>Linked List &amp; Design</x:v>
      </x:c>
      <x:c r="E62" s="34" t="str">
        <x:v>Hash map + doubly linked list</x:v>
      </x:c>
      <x:c r="F62" s="51" t="n">
        <x:v>146</x:v>
      </x:c>
      <x:c r="G62" s="52" t="str">
        <x:v>LRU Cache</x:v>
      </x:c>
      <x:c r="H62" s="52" t="str">
        <x:v>Medium</x:v>
      </x:c>
      <x:c r="I62" s="52" t="n">
        <x:v>27</x:v>
      </x:c>
      <x:c r="J62" s="34" t="str">
        <x:v>Map gives O(1) lookup; list gives O(1) recency updates</x:v>
      </x:c>
      <x:c r="K62" s="34" t="str">
        <x:v>Tests pointer safety and O(1) data-structure operations.</x:v>
      </x:c>
      <x:c r="L62" s="34" t="str">
        <x:v>Reported question: Adobe interview (LRU cache)</x:v>
      </x:c>
      <x:c r="M62" s="49" t="str">
        <x:v>https://leetcode.com/problems/lru-cache/</x:v>
      </x:c>
      <x:c r="N62" s="51" t="str">
        <x:v>Not started</x:v>
      </x:c>
      <x:c r="O62" s="51" t="n">
        <x:v>0</x:v>
      </x:c>
      <x:c r="P62" s="51"/>
      <x:c r="Q62" s="53"/>
      <x:c r="R62" s="51"/>
      <x:c r="S62" s="34" t="str"/>
      <x:c r="T62" s="53" t="str">
        <x:f>IF(OR(Q62="",R62=""),"",Q62+IF(R62=1,1,IF(R62=2,3,IF(R62=3,7,IF(R62=4,14,30)))))</x:f>
      </x:c>
    </x:row>
    <x:row r="63" ht="46" customHeight="1">
      <x:c r="A63" s="51" t="n">
        <x:v>59</x:v>
      </x:c>
      <x:c r="B63" s="51" t="str">
        <x:v>2 - Depth</x:v>
      </x:c>
      <x:c r="C63" s="51" t="str">
        <x:v>P1</x:v>
      </x:c>
      <x:c r="D63" s="34" t="str">
        <x:v>Linked List &amp; Design</x:v>
      </x:c>
      <x:c r="E63" s="34" t="str">
        <x:v>Graph-like node copy</x:v>
      </x:c>
      <x:c r="F63" s="51" t="n">
        <x:v>138</x:v>
      </x:c>
      <x:c r="G63" s="52" t="str">
        <x:v>Copy List with Random Pointer</x:v>
      </x:c>
      <x:c r="H63" s="52" t="str">
        <x:v>Medium</x:v>
      </x:c>
      <x:c r="I63" s="52" t="n">
        <x:v>27</x:v>
      </x:c>
      <x:c r="J63" s="34" t="str">
        <x:v>Create a stable mapping from each original node to its copy</x:v>
      </x:c>
      <x:c r="K63" s="34" t="str">
        <x:v>Tests pointer safety and O(1) data-structure operations.</x:v>
      </x:c>
      <x:c r="L63" s="34" t="str">
        <x:v>Directional company-pattern signal: Amazon, Microsoft, Meta, Adobe</x:v>
      </x:c>
      <x:c r="M63" s="49" t="str">
        <x:v>https://leetcode.com/problems/copy-list-with-random-pointer/</x:v>
      </x:c>
      <x:c r="N63" s="51" t="str">
        <x:v>Not started</x:v>
      </x:c>
      <x:c r="O63" s="51" t="n">
        <x:v>0</x:v>
      </x:c>
      <x:c r="P63" s="51"/>
      <x:c r="Q63" s="53"/>
      <x:c r="R63" s="51"/>
      <x:c r="S63" s="34" t="str"/>
      <x:c r="T63" s="53" t="str">
        <x:f>IF(OR(Q63="",R63=""),"",Q63+IF(R63=1,1,IF(R63=2,3,IF(R63=3,7,IF(R63=4,14,30)))))</x:f>
      </x:c>
    </x:row>
    <x:row r="64" ht="46" customHeight="1">
      <x:c r="A64" s="51" t="n">
        <x:v>60</x:v>
      </x:c>
      <x:c r="B64" s="51" t="str">
        <x:v>2 - Depth</x:v>
      </x:c>
      <x:c r="C64" s="51" t="str">
        <x:v>P1</x:v>
      </x:c>
      <x:c r="D64" s="34" t="str">
        <x:v>Linked List &amp; Design</x:v>
      </x:c>
      <x:c r="E64" s="34" t="str">
        <x:v>Split, reverse, weave</x:v>
      </x:c>
      <x:c r="F64" s="51" t="n">
        <x:v>143</x:v>
      </x:c>
      <x:c r="G64" s="52" t="str">
        <x:v>Reorder List</x:v>
      </x:c>
      <x:c r="H64" s="52" t="str">
        <x:v>Medium</x:v>
      </x:c>
      <x:c r="I64" s="52" t="n">
        <x:v>27</x:v>
      </x:c>
      <x:c r="J64" s="34" t="str">
        <x:v>Find middle, reverse second half, then alternate nodes</x:v>
      </x:c>
      <x:c r="K64" s="34" t="str">
        <x:v>Tests pointer safety and O(1) data-structure operations.</x:v>
      </x:c>
      <x:c r="L64" s="34" t="str">
        <x:v>Directional company-pattern signal: Amazon, Microsoft, Meta, Adobe</x:v>
      </x:c>
      <x:c r="M64" s="49" t="str">
        <x:v>https://leetcode.com/problems/reorder-list/</x:v>
      </x:c>
      <x:c r="N64" s="51" t="str">
        <x:v>Not started</x:v>
      </x:c>
      <x:c r="O64" s="51" t="n">
        <x:v>0</x:v>
      </x:c>
      <x:c r="P64" s="51"/>
      <x:c r="Q64" s="53"/>
      <x:c r="R64" s="51"/>
      <x:c r="S64" s="34" t="str"/>
      <x:c r="T64" s="53" t="str">
        <x:f>IF(OR(Q64="",R64=""),"",Q64+IF(R64=1,1,IF(R64=2,3,IF(R64=3,7,IF(R64=4,14,30)))))</x:f>
      </x:c>
    </x:row>
    <x:row r="65" ht="46" customHeight="1">
      <x:c r="A65" s="51" t="n">
        <x:v>61</x:v>
      </x:c>
      <x:c r="B65" s="51" t="str">
        <x:v>3 - Stretch</x:v>
      </x:c>
      <x:c r="C65" s="51" t="str">
        <x:v>P2</x:v>
      </x:c>
      <x:c r="D65" s="34" t="str">
        <x:v>Linked List &amp; Design</x:v>
      </x:c>
      <x:c r="E65" s="34" t="str">
        <x:v>Fixed-size group reversal</x:v>
      </x:c>
      <x:c r="F65" s="51" t="n">
        <x:v>25</x:v>
      </x:c>
      <x:c r="G65" s="52" t="str">
        <x:v>Reverse Nodes in k-Group</x:v>
      </x:c>
      <x:c r="H65" s="52" t="str">
        <x:v>Hard</x:v>
      </x:c>
      <x:c r="I65" s="52" t="n">
        <x:v>42</x:v>
      </x:c>
      <x:c r="J65" s="34" t="str">
        <x:v>Verify a full group before reversing its pointers</x:v>
      </x:c>
      <x:c r="K65" s="34" t="str">
        <x:v>Tests pointer safety and O(1) data-structure operations.</x:v>
      </x:c>
      <x:c r="L65" s="34" t="str">
        <x:v>Directional company-pattern signal: Amazon, Microsoft, Meta, Adobe</x:v>
      </x:c>
      <x:c r="M65" s="49" t="str">
        <x:v>https://leetcode.com/problems/reverse-nodes-in-k-group/</x:v>
      </x:c>
      <x:c r="N65" s="51" t="str">
        <x:v>Not started</x:v>
      </x:c>
      <x:c r="O65" s="51" t="n">
        <x:v>0</x:v>
      </x:c>
      <x:c r="P65" s="51"/>
      <x:c r="Q65" s="53"/>
      <x:c r="R65" s="51"/>
      <x:c r="S65" s="34" t="str"/>
      <x:c r="T65" s="53" t="str">
        <x:f>IF(OR(Q65="",R65=""),"",Q65+IF(R65=1,1,IF(R65=2,3,IF(R65=3,7,IF(R65=4,14,30)))))</x:f>
      </x:c>
    </x:row>
    <x:row r="66" ht="46" customHeight="1">
      <x:c r="A66" s="51" t="n">
        <x:v>62</x:v>
      </x:c>
      <x:c r="B66" s="51" t="str">
        <x:v>1 - Core</x:v>
      </x:c>
      <x:c r="C66" s="51" t="str">
        <x:v>P0</x:v>
      </x:c>
      <x:c r="D66" s="34" t="str">
        <x:v>Trees &amp; BST</x:v>
      </x:c>
      <x:c r="E66" s="34" t="str">
        <x:v>Level-order with direction</x:v>
      </x:c>
      <x:c r="F66" s="51" t="n">
        <x:v>103</x:v>
      </x:c>
      <x:c r="G66" s="52" t="str">
        <x:v>Binary Tree Zigzag Level Order Traversal</x:v>
      </x:c>
      <x:c r="H66" s="52" t="str">
        <x:v>Medium</x:v>
      </x:c>
      <x:c r="I66" s="52" t="n">
        <x:v>27</x:v>
      </x:c>
      <x:c r="J66" s="34" t="str">
        <x:v>BFS by level; reverse insertion direction without corrupting traversal</x:v>
      </x:c>
      <x:c r="K66" s="34" t="str">
        <x:v>Covers recursive return values, traversals, and tree DP.</x:v>
      </x:c>
      <x:c r="L66" s="34" t="str">
        <x:v>Reported analogue: Amazon 2025 (zigzag/spiral level traversal)</x:v>
      </x:c>
      <x:c r="M66" s="49" t="str">
        <x:v>https://leetcode.com/problems/binary-tree-zigzag-level-order-traversal/</x:v>
      </x:c>
      <x:c r="N66" s="51" t="str">
        <x:v>Not started</x:v>
      </x:c>
      <x:c r="O66" s="51" t="n">
        <x:v>0</x:v>
      </x:c>
      <x:c r="P66" s="51"/>
      <x:c r="Q66" s="53"/>
      <x:c r="R66" s="51"/>
      <x:c r="S66" s="34" t="str"/>
      <x:c r="T66" s="53" t="str">
        <x:f>IF(OR(Q66="",R66=""),"",Q66+IF(R66=1,1,IF(R66=2,3,IF(R66=3,7,IF(R66=4,14,30)))))</x:f>
      </x:c>
    </x:row>
    <x:row r="67" ht="46" customHeight="1">
      <x:c r="A67" s="51" t="n">
        <x:v>63</x:v>
      </x:c>
      <x:c r="B67" s="51" t="str">
        <x:v>1 - Core</x:v>
      </x:c>
      <x:c r="C67" s="51" t="str">
        <x:v>P0</x:v>
      </x:c>
      <x:c r="D67" s="34" t="str">
        <x:v>Trees &amp; BST</x:v>
      </x:c>
      <x:c r="E67" s="34" t="str">
        <x:v>Postorder height aggregation</x:v>
      </x:c>
      <x:c r="F67" s="51" t="n">
        <x:v>543</x:v>
      </x:c>
      <x:c r="G67" s="52" t="str">
        <x:v>Diameter of Binary Tree</x:v>
      </x:c>
      <x:c r="H67" s="52" t="str">
        <x:v>Easy</x:v>
      </x:c>
      <x:c r="I67" s="52" t="n">
        <x:v>12</x:v>
      </x:c>
      <x:c r="J67" s="34" t="str">
        <x:v>Each node combines left and right heights into a candidate diameter</x:v>
      </x:c>
      <x:c r="K67" s="34" t="str">
        <x:v>Covers recursive return values, traversals, and tree DP.</x:v>
      </x:c>
      <x:c r="L67" s="34" t="str">
        <x:v>Directional company-pattern signal: Amazon, Microsoft, Google, Walmart</x:v>
      </x:c>
      <x:c r="M67" s="49" t="str">
        <x:v>https://leetcode.com/problems/diameter-of-binary-tree/</x:v>
      </x:c>
      <x:c r="N67" s="51" t="str">
        <x:v>Not started</x:v>
      </x:c>
      <x:c r="O67" s="51" t="n">
        <x:v>0</x:v>
      </x:c>
      <x:c r="P67" s="51"/>
      <x:c r="Q67" s="53"/>
      <x:c r="R67" s="51"/>
      <x:c r="S67" s="34" t="str"/>
      <x:c r="T67" s="53" t="str">
        <x:f>IF(OR(Q67="",R67=""),"",Q67+IF(R67=1,1,IF(R67=2,3,IF(R67=3,7,IF(R67=4,14,30)))))</x:f>
      </x:c>
    </x:row>
    <x:row r="68" ht="46" customHeight="1">
      <x:c r="A68" s="51" t="n">
        <x:v>64</x:v>
      </x:c>
      <x:c r="B68" s="51" t="str">
        <x:v>1 - Core</x:v>
      </x:c>
      <x:c r="C68" s="51" t="str">
        <x:v>P0</x:v>
      </x:c>
      <x:c r="D68" s="34" t="str">
        <x:v>Trees &amp; BST</x:v>
      </x:c>
      <x:c r="E68" s="34" t="str">
        <x:v>BST bounds</x:v>
      </x:c>
      <x:c r="F68" s="51" t="n">
        <x:v>98</x:v>
      </x:c>
      <x:c r="G68" s="52" t="str">
        <x:v>Validate Binary Search Tree</x:v>
      </x:c>
      <x:c r="H68" s="52" t="str">
        <x:v>Medium</x:v>
      </x:c>
      <x:c r="I68" s="52" t="n">
        <x:v>27</x:v>
      </x:c>
      <x:c r="J68" s="34" t="str">
        <x:v>Every node must satisfy inherited lower and upper bounds</x:v>
      </x:c>
      <x:c r="K68" s="34" t="str">
        <x:v>Covers recursive return values, traversals, and tree DP.</x:v>
      </x:c>
      <x:c r="L68" s="34" t="str">
        <x:v>Reported question: Microsoft 2025 interview (validate BST)</x:v>
      </x:c>
      <x:c r="M68" s="49" t="str">
        <x:v>https://leetcode.com/problems/validate-binary-search-tree/</x:v>
      </x:c>
      <x:c r="N68" s="51" t="str">
        <x:v>Not started</x:v>
      </x:c>
      <x:c r="O68" s="51" t="n">
        <x:v>0</x:v>
      </x:c>
      <x:c r="P68" s="51"/>
      <x:c r="Q68" s="53"/>
      <x:c r="R68" s="51"/>
      <x:c r="S68" s="34" t="str"/>
      <x:c r="T68" s="53" t="str">
        <x:f>IF(OR(Q68="",R68=""),"",Q68+IF(R68=1,1,IF(R68=2,3,IF(R68=3,7,IF(R68=4,14,30)))))</x:f>
      </x:c>
    </x:row>
    <x:row r="69" ht="46" customHeight="1">
      <x:c r="A69" s="51" t="n">
        <x:v>65</x:v>
      </x:c>
      <x:c r="B69" s="51" t="str">
        <x:v>1 - Core</x:v>
      </x:c>
      <x:c r="C69" s="51" t="str">
        <x:v>P0</x:v>
      </x:c>
      <x:c r="D69" s="34" t="str">
        <x:v>Trees &amp; BST</x:v>
      </x:c>
      <x:c r="E69" s="34" t="str">
        <x:v>Inorder order statistic</x:v>
      </x:c>
      <x:c r="F69" s="51" t="n">
        <x:v>230</x:v>
      </x:c>
      <x:c r="G69" s="52" t="str">
        <x:v>Kth Smallest Element in a BST</x:v>
      </x:c>
      <x:c r="H69" s="52" t="str">
        <x:v>Medium</x:v>
      </x:c>
      <x:c r="I69" s="52" t="n">
        <x:v>27</x:v>
      </x:c>
      <x:c r="J69" s="34" t="str">
        <x:v>BST inorder traversal produces sorted values</x:v>
      </x:c>
      <x:c r="K69" s="34" t="str">
        <x:v>Covers recursive return values, traversals, and tree DP.</x:v>
      </x:c>
      <x:c r="L69" s="34" t="str">
        <x:v>Directional company-pattern signal: Amazon, Microsoft, Google, Walmart</x:v>
      </x:c>
      <x:c r="M69" s="49" t="str">
        <x:v>https://leetcode.com/problems/kth-smallest-element-in-a-bst/</x:v>
      </x:c>
      <x:c r="N69" s="51" t="str">
        <x:v>Not started</x:v>
      </x:c>
      <x:c r="O69" s="51" t="n">
        <x:v>0</x:v>
      </x:c>
      <x:c r="P69" s="51"/>
      <x:c r="Q69" s="53"/>
      <x:c r="R69" s="51"/>
      <x:c r="S69" s="34" t="str"/>
      <x:c r="T69" s="53" t="str">
        <x:f>IF(OR(Q69="",R69=""),"",Q69+IF(R69=1,1,IF(R69=2,3,IF(R69=3,7,IF(R69=4,14,30)))))</x:f>
      </x:c>
    </x:row>
    <x:row r="70" ht="46" customHeight="1">
      <x:c r="A70" s="51" t="n">
        <x:v>66</x:v>
      </x:c>
      <x:c r="B70" s="51" t="str">
        <x:v>1 - Core</x:v>
      </x:c>
      <x:c r="C70" s="51" t="str">
        <x:v>P0</x:v>
      </x:c>
      <x:c r="D70" s="34" t="str">
        <x:v>Trees &amp; BST</x:v>
      </x:c>
      <x:c r="E70" s="34" t="str">
        <x:v>Recursive split point</x:v>
      </x:c>
      <x:c r="F70" s="51" t="n">
        <x:v>236</x:v>
      </x:c>
      <x:c r="G70" s="52" t="str">
        <x:v>Lowest Common Ancestor of a Binary Tree</x:v>
      </x:c>
      <x:c r="H70" s="52" t="str">
        <x:v>Medium</x:v>
      </x:c>
      <x:c r="I70" s="52" t="n">
        <x:v>27</x:v>
      </x:c>
      <x:c r="J70" s="34" t="str">
        <x:v>The first node receiving targets from different sides is the LCA</x:v>
      </x:c>
      <x:c r="K70" s="34" t="str">
        <x:v>Covers recursive return values, traversals, and tree DP.</x:v>
      </x:c>
      <x:c r="L70" s="34" t="str">
        <x:v>Directional company-pattern signal: Amazon, Microsoft, Google, Walmart</x:v>
      </x:c>
      <x:c r="M70" s="49" t="str">
        <x:v>https://leetcode.com/problems/lowest-common-ancestor-of-a-binary-tree/</x:v>
      </x:c>
      <x:c r="N70" s="51" t="str">
        <x:v>Not started</x:v>
      </x:c>
      <x:c r="O70" s="51" t="n">
        <x:v>0</x:v>
      </x:c>
      <x:c r="P70" s="51"/>
      <x:c r="Q70" s="53"/>
      <x:c r="R70" s="51"/>
      <x:c r="S70" s="34" t="str"/>
      <x:c r="T70" s="53" t="str">
        <x:f>IF(OR(Q70="",R70=""),"",Q70+IF(R70=1,1,IF(R70=2,3,IF(R70=3,7,IF(R70=4,14,30)))))</x:f>
      </x:c>
    </x:row>
    <x:row r="71" ht="46" customHeight="1">
      <x:c r="A71" s="51" t="n">
        <x:v>67</x:v>
      </x:c>
      <x:c r="B71" s="51" t="str">
        <x:v>1 - Core</x:v>
      </x:c>
      <x:c r="C71" s="51" t="str">
        <x:v>P0</x:v>
      </x:c>
      <x:c r="D71" s="34" t="str">
        <x:v>Trees &amp; BST</x:v>
      </x:c>
      <x:c r="E71" s="34" t="str">
        <x:v>View by level</x:v>
      </x:c>
      <x:c r="F71" s="51" t="n">
        <x:v>199</x:v>
      </x:c>
      <x:c r="G71" s="52" t="str">
        <x:v>Binary Tree Right Side View</x:v>
      </x:c>
      <x:c r="H71" s="52" t="str">
        <x:v>Medium</x:v>
      </x:c>
      <x:c r="I71" s="52" t="n">
        <x:v>27</x:v>
      </x:c>
      <x:c r="J71" s="34" t="str">
        <x:v>Take the last visible node from every BFS level</x:v>
      </x:c>
      <x:c r="K71" s="34" t="str">
        <x:v>Covers recursive return values, traversals, and tree DP.</x:v>
      </x:c>
      <x:c r="L71" s="34" t="str">
        <x:v>Directional company-pattern signal: Amazon, Microsoft, Google, Walmart</x:v>
      </x:c>
      <x:c r="M71" s="49" t="str">
        <x:v>https://leetcode.com/problems/binary-tree-right-side-view/</x:v>
      </x:c>
      <x:c r="N71" s="51" t="str">
        <x:v>Not started</x:v>
      </x:c>
      <x:c r="O71" s="51" t="n">
        <x:v>0</x:v>
      </x:c>
      <x:c r="P71" s="51"/>
      <x:c r="Q71" s="53"/>
      <x:c r="R71" s="51"/>
      <x:c r="S71" s="34" t="str"/>
      <x:c r="T71" s="53" t="str">
        <x:f>IF(OR(Q71="",R71=""),"",Q71+IF(R71=1,1,IF(R71=2,3,IF(R71=3,7,IF(R71=4,14,30)))))</x:f>
      </x:c>
    </x:row>
    <x:row r="72" ht="46" customHeight="1">
      <x:c r="A72" s="51" t="n">
        <x:v>68</x:v>
      </x:c>
      <x:c r="B72" s="51" t="str">
        <x:v>2 - Depth</x:v>
      </x:c>
      <x:c r="C72" s="51" t="str">
        <x:v>P1</x:v>
      </x:c>
      <x:c r="D72" s="34" t="str">
        <x:v>Trees &amp; BST</x:v>
      </x:c>
      <x:c r="E72" s="34" t="str">
        <x:v>Reconstruction from traversals</x:v>
      </x:c>
      <x:c r="F72" s="51" t="n">
        <x:v>105</x:v>
      </x:c>
      <x:c r="G72" s="52" t="str">
        <x:v>Construct Binary Tree from Preorder and Inorder Traversal</x:v>
      </x:c>
      <x:c r="H72" s="52" t="str">
        <x:v>Medium</x:v>
      </x:c>
      <x:c r="I72" s="52" t="n">
        <x:v>27</x:v>
      </x:c>
      <x:c r="J72" s="34" t="str">
        <x:v>Preorder chooses root; inorder splits left and right subtrees</x:v>
      </x:c>
      <x:c r="K72" s="34" t="str">
        <x:v>Covers recursive return values, traversals, and tree DP.</x:v>
      </x:c>
      <x:c r="L72" s="34" t="str">
        <x:v>Directional company-pattern signal: Amazon, Microsoft, Google, Walmart</x:v>
      </x:c>
      <x:c r="M72" s="49" t="str">
        <x:v>https://leetcode.com/problems/construct-binary-tree-from-preorder-and-inorder-traversal/</x:v>
      </x:c>
      <x:c r="N72" s="51" t="str">
        <x:v>Not started</x:v>
      </x:c>
      <x:c r="O72" s="51" t="n">
        <x:v>0</x:v>
      </x:c>
      <x:c r="P72" s="51"/>
      <x:c r="Q72" s="53"/>
      <x:c r="R72" s="51"/>
      <x:c r="S72" s="34" t="str"/>
      <x:c r="T72" s="53" t="str">
        <x:f>IF(OR(Q72="",R72=""),"",Q72+IF(R72=1,1,IF(R72=2,3,IF(R72=3,7,IF(R72=4,14,30)))))</x:f>
      </x:c>
    </x:row>
    <x:row r="73" ht="46" customHeight="1">
      <x:c r="A73" s="51" t="n">
        <x:v>69</x:v>
      </x:c>
      <x:c r="B73" s="51" t="str">
        <x:v>2 - Depth</x:v>
      </x:c>
      <x:c r="C73" s="51" t="str">
        <x:v>P1</x:v>
      </x:c>
      <x:c r="D73" s="34" t="str">
        <x:v>Trees &amp; BST</x:v>
      </x:c>
      <x:c r="E73" s="34" t="str">
        <x:v>Serialization protocol</x:v>
      </x:c>
      <x:c r="F73" s="51" t="n">
        <x:v>297</x:v>
      </x:c>
      <x:c r="G73" s="52" t="str">
        <x:v>Serialize and Deserialize Binary Tree</x:v>
      </x:c>
      <x:c r="H73" s="52" t="str">
        <x:v>Hard</x:v>
      </x:c>
      <x:c r="I73" s="52" t="n">
        <x:v>42</x:v>
      </x:c>
      <x:c r="J73" s="34" t="str">
        <x:v>Null markers and a fixed traversal make decoding unambiguous</x:v>
      </x:c>
      <x:c r="K73" s="34" t="str">
        <x:v>Covers recursive return values, traversals, and tree DP.</x:v>
      </x:c>
      <x:c r="L73" s="34" t="str">
        <x:v>Directional company-pattern signal: Amazon, Microsoft, Google, Walmart</x:v>
      </x:c>
      <x:c r="M73" s="49" t="str">
        <x:v>https://leetcode.com/problems/serialize-and-deserialize-binary-tree/</x:v>
      </x:c>
      <x:c r="N73" s="51" t="str">
        <x:v>Not started</x:v>
      </x:c>
      <x:c r="O73" s="51" t="n">
        <x:v>0</x:v>
      </x:c>
      <x:c r="P73" s="51"/>
      <x:c r="Q73" s="53"/>
      <x:c r="R73" s="51"/>
      <x:c r="S73" s="34" t="str"/>
      <x:c r="T73" s="53" t="str">
        <x:f>IF(OR(Q73="",R73=""),"",Q73+IF(R73=1,1,IF(R73=2,3,IF(R73=3,7,IF(R73=4,14,30)))))</x:f>
      </x:c>
    </x:row>
    <x:row r="74" ht="46" customHeight="1">
      <x:c r="A74" s="51" t="n">
        <x:v>70</x:v>
      </x:c>
      <x:c r="B74" s="51" t="str">
        <x:v>2 - Depth</x:v>
      </x:c>
      <x:c r="C74" s="51" t="str">
        <x:v>P1</x:v>
      </x:c>
      <x:c r="D74" s="34" t="str">
        <x:v>Trees &amp; BST</x:v>
      </x:c>
      <x:c r="E74" s="34" t="str">
        <x:v>Tree DP / global optimum</x:v>
      </x:c>
      <x:c r="F74" s="51" t="n">
        <x:v>124</x:v>
      </x:c>
      <x:c r="G74" s="52" t="str">
        <x:v>Binary Tree Maximum Path Sum</x:v>
      </x:c>
      <x:c r="H74" s="52" t="str">
        <x:v>Hard</x:v>
      </x:c>
      <x:c r="I74" s="52" t="n">
        <x:v>42</x:v>
      </x:c>
      <x:c r="J74" s="34" t="str">
        <x:v>Return one branch upward but test two branches locally</x:v>
      </x:c>
      <x:c r="K74" s="34" t="str">
        <x:v>Covers recursive return values, traversals, and tree DP.</x:v>
      </x:c>
      <x:c r="L74" s="34" t="str">
        <x:v>Directional company-pattern signal: Amazon, Microsoft, Google, Walmart</x:v>
      </x:c>
      <x:c r="M74" s="49" t="str">
        <x:v>https://leetcode.com/problems/binary-tree-maximum-path-sum/</x:v>
      </x:c>
      <x:c r="N74" s="51" t="str">
        <x:v>Not started</x:v>
      </x:c>
      <x:c r="O74" s="51" t="n">
        <x:v>0</x:v>
      </x:c>
      <x:c r="P74" s="51"/>
      <x:c r="Q74" s="53"/>
      <x:c r="R74" s="51"/>
      <x:c r="S74" s="34" t="str"/>
      <x:c r="T74" s="53" t="str">
        <x:f>IF(OR(Q74="",R74=""),"",Q74+IF(R74=1,1,IF(R74=2,3,IF(R74=3,7,IF(R74=4,14,30)))))</x:f>
      </x:c>
    </x:row>
    <x:row r="75" ht="46" customHeight="1">
      <x:c r="A75" s="51" t="n">
        <x:v>71</x:v>
      </x:c>
      <x:c r="B75" s="51" t="str">
        <x:v>3 - Stretch</x:v>
      </x:c>
      <x:c r="C75" s="51" t="str">
        <x:v>P2</x:v>
      </x:c>
      <x:c r="D75" s="34" t="str">
        <x:v>Trees &amp; BST</x:v>
      </x:c>
      <x:c r="E75" s="34" t="str">
        <x:v>Coordinates + sorting</x:v>
      </x:c>
      <x:c r="F75" s="51" t="n">
        <x:v>987</x:v>
      </x:c>
      <x:c r="G75" s="52" t="str">
        <x:v>Vertical Order Traversal of a Binary Tree</x:v>
      </x:c>
      <x:c r="H75" s="52" t="str">
        <x:v>Hard</x:v>
      </x:c>
      <x:c r="I75" s="52" t="n">
        <x:v>42</x:v>
      </x:c>
      <x:c r="J75" s="34" t="str">
        <x:v>Assign row and column coordinates, then sort with tie rules</x:v>
      </x:c>
      <x:c r="K75" s="34" t="str">
        <x:v>Covers recursive return values, traversals, and tree DP.</x:v>
      </x:c>
      <x:c r="L75" s="34" t="str">
        <x:v>Directional company-pattern signal: Amazon, Microsoft, Google, Walmart</x:v>
      </x:c>
      <x:c r="M75" s="49" t="str">
        <x:v>https://leetcode.com/problems/vertical-order-traversal-of-a-binary-tree/</x:v>
      </x:c>
      <x:c r="N75" s="51" t="str">
        <x:v>Not started</x:v>
      </x:c>
      <x:c r="O75" s="51" t="n">
        <x:v>0</x:v>
      </x:c>
      <x:c r="P75" s="51"/>
      <x:c r="Q75" s="53"/>
      <x:c r="R75" s="51"/>
      <x:c r="S75" s="34" t="str"/>
      <x:c r="T75" s="53" t="str">
        <x:f>IF(OR(Q75="",R75=""),"",Q75+IF(R75=1,1,IF(R75=2,3,IF(R75=3,7,IF(R75=4,14,30)))))</x:f>
      </x:c>
    </x:row>
    <x:row r="76" ht="46" customHeight="1">
      <x:c r="A76" s="51" t="n">
        <x:v>72</x:v>
      </x:c>
      <x:c r="B76" s="51" t="str">
        <x:v>1 - Core</x:v>
      </x:c>
      <x:c r="C76" s="51" t="str">
        <x:v>P0</x:v>
      </x:c>
      <x:c r="D76" s="34" t="str">
        <x:v>Graphs</x:v>
      </x:c>
      <x:c r="E76" s="34" t="str">
        <x:v>Grid components</x:v>
      </x:c>
      <x:c r="F76" s="51" t="n">
        <x:v>200</x:v>
      </x:c>
      <x:c r="G76" s="52" t="str">
        <x:v>Number of Islands</x:v>
      </x:c>
      <x:c r="H76" s="52" t="str">
        <x:v>Medium</x:v>
      </x:c>
      <x:c r="I76" s="52" t="n">
        <x:v>27</x:v>
      </x:c>
      <x:c r="J76" s="34" t="str">
        <x:v>Each unseen land cell starts one BFS/DFS component</x:v>
      </x:c>
      <x:c r="K76" s="34" t="str">
        <x:v>Spans components, BFS, topo sort, DSU, shortest paths, and MST.</x:v>
      </x:c>
      <x:c r="L76" s="34" t="str">
        <x:v>Directional company-pattern signal: Amazon, Microsoft, Google, Uber, Walmart</x:v>
      </x:c>
      <x:c r="M76" s="49" t="str">
        <x:v>https://leetcode.com/problems/number-of-islands/</x:v>
      </x:c>
      <x:c r="N76" s="51" t="str">
        <x:v>Not started</x:v>
      </x:c>
      <x:c r="O76" s="51" t="n">
        <x:v>0</x:v>
      </x:c>
      <x:c r="P76" s="51"/>
      <x:c r="Q76" s="53"/>
      <x:c r="R76" s="51"/>
      <x:c r="S76" s="34" t="str"/>
      <x:c r="T76" s="53" t="str">
        <x:f>IF(OR(Q76="",R76=""),"",Q76+IF(R76=1,1,IF(R76=2,3,IF(R76=3,7,IF(R76=4,14,30)))))</x:f>
      </x:c>
    </x:row>
    <x:row r="77" ht="46" customHeight="1">
      <x:c r="A77" s="51" t="n">
        <x:v>73</x:v>
      </x:c>
      <x:c r="B77" s="51" t="str">
        <x:v>1 - Core</x:v>
      </x:c>
      <x:c r="C77" s="51" t="str">
        <x:v>P0</x:v>
      </x:c>
      <x:c r="D77" s="34" t="str">
        <x:v>Graphs</x:v>
      </x:c>
      <x:c r="E77" s="34" t="str">
        <x:v>Graph cloning</x:v>
      </x:c>
      <x:c r="F77" s="51" t="n">
        <x:v>133</x:v>
      </x:c>
      <x:c r="G77" s="52" t="str">
        <x:v>Clone Graph</x:v>
      </x:c>
      <x:c r="H77" s="52" t="str">
        <x:v>Medium</x:v>
      </x:c>
      <x:c r="I77" s="52" t="n">
        <x:v>27</x:v>
      </x:c>
      <x:c r="J77" s="34" t="str">
        <x:v>Map original nodes to copies before exploring neighbors</x:v>
      </x:c>
      <x:c r="K77" s="34" t="str">
        <x:v>Spans components, BFS, topo sort, DSU, shortest paths, and MST.</x:v>
      </x:c>
      <x:c r="L77" s="34" t="str">
        <x:v>Directional company-pattern signal: Amazon, Microsoft, Google, Uber, Walmart</x:v>
      </x:c>
      <x:c r="M77" s="49" t="str">
        <x:v>https://leetcode.com/problems/clone-graph/</x:v>
      </x:c>
      <x:c r="N77" s="51" t="str">
        <x:v>Not started</x:v>
      </x:c>
      <x:c r="O77" s="51" t="n">
        <x:v>0</x:v>
      </x:c>
      <x:c r="P77" s="51"/>
      <x:c r="Q77" s="53"/>
      <x:c r="R77" s="51"/>
      <x:c r="S77" s="34" t="str"/>
      <x:c r="T77" s="53" t="str">
        <x:f>IF(OR(Q77="",R77=""),"",Q77+IF(R77=1,1,IF(R77=2,3,IF(R77=3,7,IF(R77=4,14,30)))))</x:f>
      </x:c>
    </x:row>
    <x:row r="78" ht="46" customHeight="1">
      <x:c r="A78" s="51" t="n">
        <x:v>74</x:v>
      </x:c>
      <x:c r="B78" s="51" t="str">
        <x:v>1 - Core</x:v>
      </x:c>
      <x:c r="C78" s="51" t="str">
        <x:v>P0</x:v>
      </x:c>
      <x:c r="D78" s="34" t="str">
        <x:v>Graphs</x:v>
      </x:c>
      <x:c r="E78" s="34" t="str">
        <x:v>Multi-source BFS</x:v>
      </x:c>
      <x:c r="F78" s="51" t="n">
        <x:v>994</x:v>
      </x:c>
      <x:c r="G78" s="52" t="str">
        <x:v>Rotting Oranges</x:v>
      </x:c>
      <x:c r="H78" s="52" t="str">
        <x:v>Medium</x:v>
      </x:c>
      <x:c r="I78" s="52" t="n">
        <x:v>27</x:v>
      </x:c>
      <x:c r="J78" s="34" t="str">
        <x:v>Start BFS from all initially rotten cells at once</x:v>
      </x:c>
      <x:c r="K78" s="34" t="str">
        <x:v>Spans components, BFS, topo sort, DSU, shortest paths, and MST.</x:v>
      </x:c>
      <x:c r="L78" s="34" t="str">
        <x:v>Reported question: Microsoft 2025 interview (Rotting Oranges)</x:v>
      </x:c>
      <x:c r="M78" s="49" t="str">
        <x:v>https://leetcode.com/problems/rotting-oranges/</x:v>
      </x:c>
      <x:c r="N78" s="51" t="str">
        <x:v>Not started</x:v>
      </x:c>
      <x:c r="O78" s="51" t="n">
        <x:v>0</x:v>
      </x:c>
      <x:c r="P78" s="51"/>
      <x:c r="Q78" s="53"/>
      <x:c r="R78" s="51"/>
      <x:c r="S78" s="34" t="str"/>
      <x:c r="T78" s="53" t="str">
        <x:f>IF(OR(Q78="",R78=""),"",Q78+IF(R78=1,1,IF(R78=2,3,IF(R78=3,7,IF(R78=4,14,30)))))</x:f>
      </x:c>
    </x:row>
    <x:row r="79" ht="46" customHeight="1">
      <x:c r="A79" s="51" t="n">
        <x:v>75</x:v>
      </x:c>
      <x:c r="B79" s="51" t="str">
        <x:v>1 - Core</x:v>
      </x:c>
      <x:c r="C79" s="51" t="str">
        <x:v>P0</x:v>
      </x:c>
      <x:c r="D79" s="34" t="str">
        <x:v>Graphs</x:v>
      </x:c>
      <x:c r="E79" s="34" t="str">
        <x:v>Topological cycle detection</x:v>
      </x:c>
      <x:c r="F79" s="51" t="n">
        <x:v>207</x:v>
      </x:c>
      <x:c r="G79" s="52" t="str">
        <x:v>Course Schedule</x:v>
      </x:c>
      <x:c r="H79" s="52" t="str">
        <x:v>Medium</x:v>
      </x:c>
      <x:c r="I79" s="52" t="n">
        <x:v>27</x:v>
      </x:c>
      <x:c r="J79" s="34" t="str">
        <x:v>A directed cycle means prerequisites cannot be completed</x:v>
      </x:c>
      <x:c r="K79" s="34" t="str">
        <x:v>Spans components, BFS, topo sort, DSU, shortest paths, and MST.</x:v>
      </x:c>
      <x:c r="L79" s="34" t="str">
        <x:v>Reported analogue: Amazon 2025 (topological order / cycle detection)</x:v>
      </x:c>
      <x:c r="M79" s="49" t="str">
        <x:v>https://leetcode.com/problems/course-schedule/</x:v>
      </x:c>
      <x:c r="N79" s="51" t="str">
        <x:v>Not started</x:v>
      </x:c>
      <x:c r="O79" s="51" t="n">
        <x:v>0</x:v>
      </x:c>
      <x:c r="P79" s="51"/>
      <x:c r="Q79" s="53"/>
      <x:c r="R79" s="51"/>
      <x:c r="S79" s="34" t="str"/>
      <x:c r="T79" s="53" t="str">
        <x:f>IF(OR(Q79="",R79=""),"",Q79+IF(R79=1,1,IF(R79=2,3,IF(R79=3,7,IF(R79=4,14,30)))))</x:f>
      </x:c>
    </x:row>
    <x:row r="80" ht="46" customHeight="1">
      <x:c r="A80" s="51" t="n">
        <x:v>76</x:v>
      </x:c>
      <x:c r="B80" s="51" t="str">
        <x:v>2 - Depth</x:v>
      </x:c>
      <x:c r="C80" s="51" t="str">
        <x:v>P1</x:v>
      </x:c>
      <x:c r="D80" s="34" t="str">
        <x:v>Graphs</x:v>
      </x:c>
      <x:c r="E80" s="34" t="str">
        <x:v>Reverse reachability</x:v>
      </x:c>
      <x:c r="F80" s="51" t="n">
        <x:v>417</x:v>
      </x:c>
      <x:c r="G80" s="52" t="str">
        <x:v>Pacific Atlantic Water Flow</x:v>
      </x:c>
      <x:c r="H80" s="52" t="str">
        <x:v>Medium</x:v>
      </x:c>
      <x:c r="I80" s="52" t="n">
        <x:v>27</x:v>
      </x:c>
      <x:c r="J80" s="34" t="str">
        <x:v>Search backward from both oceans toward nondecreasing heights</x:v>
      </x:c>
      <x:c r="K80" s="34" t="str">
        <x:v>Spans components, BFS, topo sort, DSU, shortest paths, and MST.</x:v>
      </x:c>
      <x:c r="L80" s="34" t="str">
        <x:v>Directional company-pattern signal: Amazon, Microsoft, Google, Uber, Walmart</x:v>
      </x:c>
      <x:c r="M80" s="49" t="str">
        <x:v>https://leetcode.com/problems/pacific-atlantic-water-flow/</x:v>
      </x:c>
      <x:c r="N80" s="51" t="str">
        <x:v>Not started</x:v>
      </x:c>
      <x:c r="O80" s="51" t="n">
        <x:v>0</x:v>
      </x:c>
      <x:c r="P80" s="51"/>
      <x:c r="Q80" s="53"/>
      <x:c r="R80" s="51"/>
      <x:c r="S80" s="34" t="str"/>
      <x:c r="T80" s="53" t="str">
        <x:f>IF(OR(Q80="",R80=""),"",Q80+IF(R80=1,1,IF(R80=2,3,IF(R80=3,7,IF(R80=4,14,30)))))</x:f>
      </x:c>
    </x:row>
    <x:row r="81" ht="46" customHeight="1">
      <x:c r="A81" s="51" t="n">
        <x:v>77</x:v>
      </x:c>
      <x:c r="B81" s="51" t="str">
        <x:v>2 - Depth</x:v>
      </x:c>
      <x:c r="C81" s="51" t="str">
        <x:v>P1</x:v>
      </x:c>
      <x:c r="D81" s="34" t="str">
        <x:v>Graphs</x:v>
      </x:c>
      <x:c r="E81" s="34" t="str">
        <x:v>Implicit graph shortest path</x:v>
      </x:c>
      <x:c r="F81" s="51" t="n">
        <x:v>127</x:v>
      </x:c>
      <x:c r="G81" s="52" t="str">
        <x:v>Word Ladder</x:v>
      </x:c>
      <x:c r="H81" s="52" t="str">
        <x:v>Hard</x:v>
      </x:c>
      <x:c r="I81" s="52" t="n">
        <x:v>42</x:v>
      </x:c>
      <x:c r="J81" s="34" t="str">
        <x:v>Words are nodes; one-character transformations are edges</x:v>
      </x:c>
      <x:c r="K81" s="34" t="str">
        <x:v>Spans components, BFS, topo sort, DSU, shortest paths, and MST.</x:v>
      </x:c>
      <x:c r="L81" s="34" t="str">
        <x:v>Directional company-pattern signal: Amazon, Microsoft, Google, Uber, Walmart</x:v>
      </x:c>
      <x:c r="M81" s="49" t="str">
        <x:v>https://leetcode.com/problems/word-ladder/</x:v>
      </x:c>
      <x:c r="N81" s="51" t="str">
        <x:v>Not started</x:v>
      </x:c>
      <x:c r="O81" s="51" t="n">
        <x:v>0</x:v>
      </x:c>
      <x:c r="P81" s="51"/>
      <x:c r="Q81" s="53"/>
      <x:c r="R81" s="51"/>
      <x:c r="S81" s="34" t="str"/>
      <x:c r="T81" s="53" t="str">
        <x:f>IF(OR(Q81="",R81=""),"",Q81+IF(R81=1,1,IF(R81=2,3,IF(R81=3,7,IF(R81=4,14,30)))))</x:f>
      </x:c>
    </x:row>
    <x:row r="82" ht="46" customHeight="1">
      <x:c r="A82" s="51" t="n">
        <x:v>78</x:v>
      </x:c>
      <x:c r="B82" s="51" t="str">
        <x:v>2 - Depth</x:v>
      </x:c>
      <x:c r="C82" s="51" t="str">
        <x:v>P1</x:v>
      </x:c>
      <x:c r="D82" s="34" t="str">
        <x:v>Graphs</x:v>
      </x:c>
      <x:c r="E82" s="34" t="str">
        <x:v>DSU with shared keys</x:v>
      </x:c>
      <x:c r="F82" s="51" t="n">
        <x:v>721</x:v>
      </x:c>
      <x:c r="G82" s="52" t="str">
        <x:v>Accounts Merge</x:v>
      </x:c>
      <x:c r="H82" s="52" t="str">
        <x:v>Medium</x:v>
      </x:c>
      <x:c r="I82" s="52" t="n">
        <x:v>27</x:v>
      </x:c>
      <x:c r="J82" s="34" t="str">
        <x:v>Emails connect accounts into components</x:v>
      </x:c>
      <x:c r="K82" s="34" t="str">
        <x:v>Spans components, BFS, topo sort, DSU, shortest paths, and MST.</x:v>
      </x:c>
      <x:c r="L82" s="34" t="str">
        <x:v>Directional company-pattern signal: Amazon, Microsoft, Google, Uber, Walmart</x:v>
      </x:c>
      <x:c r="M82" s="49" t="str">
        <x:v>https://leetcode.com/problems/accounts-merge/</x:v>
      </x:c>
      <x:c r="N82" s="51" t="str">
        <x:v>Not started</x:v>
      </x:c>
      <x:c r="O82" s="51" t="n">
        <x:v>0</x:v>
      </x:c>
      <x:c r="P82" s="51"/>
      <x:c r="Q82" s="53"/>
      <x:c r="R82" s="51"/>
      <x:c r="S82" s="34" t="str"/>
      <x:c r="T82" s="53" t="str">
        <x:f>IF(OR(Q82="",R82=""),"",Q82+IF(R82=1,1,IF(R82=2,3,IF(R82=3,7,IF(R82=4,14,30)))))</x:f>
      </x:c>
    </x:row>
    <x:row r="83" ht="46" customHeight="1">
      <x:c r="A83" s="51" t="n">
        <x:v>79</x:v>
      </x:c>
      <x:c r="B83" s="51" t="str">
        <x:v>1 - Core</x:v>
      </x:c>
      <x:c r="C83" s="51" t="str">
        <x:v>P0</x:v>
      </x:c>
      <x:c r="D83" s="34" t="str">
        <x:v>Graphs</x:v>
      </x:c>
      <x:c r="E83" s="34" t="str">
        <x:v>DSU cycle detection</x:v>
      </x:c>
      <x:c r="F83" s="51" t="n">
        <x:v>684</x:v>
      </x:c>
      <x:c r="G83" s="52" t="str">
        <x:v>Redundant Connection</x:v>
      </x:c>
      <x:c r="H83" s="52" t="str">
        <x:v>Medium</x:v>
      </x:c>
      <x:c r="I83" s="52" t="n">
        <x:v>27</x:v>
      </x:c>
      <x:c r="J83" s="34" t="str">
        <x:v>An edge joining already-connected nodes creates the cycle</x:v>
      </x:c>
      <x:c r="K83" s="34" t="str">
        <x:v>Spans components, BFS, topo sort, DSU, shortest paths, and MST.</x:v>
      </x:c>
      <x:c r="L83" s="34" t="str">
        <x:v>Directional company-pattern signal: Amazon, Microsoft, Google, Uber, Walmart</x:v>
      </x:c>
      <x:c r="M83" s="49" t="str">
        <x:v>https://leetcode.com/problems/redundant-connection/</x:v>
      </x:c>
      <x:c r="N83" s="51" t="str">
        <x:v>Not started</x:v>
      </x:c>
      <x:c r="O83" s="51" t="n">
        <x:v>0</x:v>
      </x:c>
      <x:c r="P83" s="51"/>
      <x:c r="Q83" s="53"/>
      <x:c r="R83" s="51"/>
      <x:c r="S83" s="34" t="str"/>
      <x:c r="T83" s="53" t="str">
        <x:f>IF(OR(Q83="",R83=""),"",Q83+IF(R83=1,1,IF(R83=2,3,IF(R83=3,7,IF(R83=4,14,30)))))</x:f>
      </x:c>
    </x:row>
    <x:row r="84" ht="46" customHeight="1">
      <x:c r="A84" s="51" t="n">
        <x:v>80</x:v>
      </x:c>
      <x:c r="B84" s="51" t="str">
        <x:v>1 - Core</x:v>
      </x:c>
      <x:c r="C84" s="51" t="str">
        <x:v>P0</x:v>
      </x:c>
      <x:c r="D84" s="34" t="str">
        <x:v>Graphs</x:v>
      </x:c>
      <x:c r="E84" s="34" t="str">
        <x:v>Dijkstra shortest paths</x:v>
      </x:c>
      <x:c r="F84" s="51" t="n">
        <x:v>743</x:v>
      </x:c>
      <x:c r="G84" s="52" t="str">
        <x:v>Network Delay Time</x:v>
      </x:c>
      <x:c r="H84" s="52" t="str">
        <x:v>Medium</x:v>
      </x:c>
      <x:c r="I84" s="52" t="n">
        <x:v>27</x:v>
      </x:c>
      <x:c r="J84" s="34" t="str">
        <x:v>Repeatedly finalize the closest unreached node</x:v>
      </x:c>
      <x:c r="K84" s="34" t="str">
        <x:v>Spans components, BFS, topo sort, DSU, shortest paths, and MST.</x:v>
      </x:c>
      <x:c r="L84" s="34" t="str">
        <x:v>Reported pattern: Microsoft 2025 OA (Dijkstra)</x:v>
      </x:c>
      <x:c r="M84" s="49" t="str">
        <x:v>https://leetcode.com/problems/network-delay-time/</x:v>
      </x:c>
      <x:c r="N84" s="51" t="str">
        <x:v>Not started</x:v>
      </x:c>
      <x:c r="O84" s="51" t="n">
        <x:v>0</x:v>
      </x:c>
      <x:c r="P84" s="51"/>
      <x:c r="Q84" s="53"/>
      <x:c r="R84" s="51"/>
      <x:c r="S84" s="34" t="str"/>
      <x:c r="T84" s="53" t="str">
        <x:f>IF(OR(Q84="",R84=""),"",Q84+IF(R84=1,1,IF(R84=2,3,IF(R84=3,7,IF(R84=4,14,30)))))</x:f>
      </x:c>
    </x:row>
    <x:row r="85" ht="46" customHeight="1">
      <x:c r="A85" s="51" t="n">
        <x:v>81</x:v>
      </x:c>
      <x:c r="B85" s="51" t="str">
        <x:v>2 - Depth</x:v>
      </x:c>
      <x:c r="C85" s="51" t="str">
        <x:v>P1</x:v>
      </x:c>
      <x:c r="D85" s="34" t="str">
        <x:v>Graphs</x:v>
      </x:c>
      <x:c r="E85" s="34" t="str">
        <x:v>Bounded-edge shortest path</x:v>
      </x:c>
      <x:c r="F85" s="51" t="n">
        <x:v>787</x:v>
      </x:c>
      <x:c r="G85" s="52" t="str">
        <x:v>Cheapest Flights Within K Stops</x:v>
      </x:c>
      <x:c r="H85" s="52" t="str">
        <x:v>Medium</x:v>
      </x:c>
      <x:c r="I85" s="52" t="n">
        <x:v>27</x:v>
      </x:c>
      <x:c r="J85" s="34" t="str">
        <x:v>State must include cost and how many edges/stops were used</x:v>
      </x:c>
      <x:c r="K85" s="34" t="str">
        <x:v>Spans components, BFS, topo sort, DSU, shortest paths, and MST.</x:v>
      </x:c>
      <x:c r="L85" s="34" t="str">
        <x:v>Reported pattern: Microsoft 2025 OA (shortest path with constraints)</x:v>
      </x:c>
      <x:c r="M85" s="49" t="str">
        <x:v>https://leetcode.com/problems/cheapest-flights-within-k-stops/</x:v>
      </x:c>
      <x:c r="N85" s="51" t="str">
        <x:v>Not started</x:v>
      </x:c>
      <x:c r="O85" s="51" t="n">
        <x:v>0</x:v>
      </x:c>
      <x:c r="P85" s="51"/>
      <x:c r="Q85" s="53"/>
      <x:c r="R85" s="51"/>
      <x:c r="S85" s="34" t="str"/>
      <x:c r="T85" s="53" t="str">
        <x:f>IF(OR(Q85="",R85=""),"",Q85+IF(R85=1,1,IF(R85=2,3,IF(R85=3,7,IF(R85=4,14,30)))))</x:f>
      </x:c>
    </x:row>
    <x:row r="86" ht="46" customHeight="1">
      <x:c r="A86" s="51" t="n">
        <x:v>82</x:v>
      </x:c>
      <x:c r="B86" s="51" t="str">
        <x:v>2 - Depth</x:v>
      </x:c>
      <x:c r="C86" s="51" t="str">
        <x:v>P1</x:v>
      </x:c>
      <x:c r="D86" s="34" t="str">
        <x:v>Graphs</x:v>
      </x:c>
      <x:c r="E86" s="34" t="str">
        <x:v>Minimum spanning tree</x:v>
      </x:c>
      <x:c r="F86" s="51" t="n">
        <x:v>1584</x:v>
      </x:c>
      <x:c r="G86" s="52" t="str">
        <x:v>Min Cost to Connect All Points</x:v>
      </x:c>
      <x:c r="H86" s="52" t="str">
        <x:v>Medium</x:v>
      </x:c>
      <x:c r="I86" s="52" t="n">
        <x:v>27</x:v>
      </x:c>
      <x:c r="J86" s="34" t="str">
        <x:v>Connect all nodes with minimum total edge cost using Prim or Kruskal</x:v>
      </x:c>
      <x:c r="K86" s="34" t="str">
        <x:v>Spans components, BFS, topo sort, DSU, shortest paths, and MST.</x:v>
      </x:c>
      <x:c r="L86" s="34" t="str">
        <x:v>Directional company-pattern signal: Amazon, Microsoft, Google, Uber, Walmart</x:v>
      </x:c>
      <x:c r="M86" s="49" t="str">
        <x:v>https://leetcode.com/problems/min-cost-to-connect-all-points/</x:v>
      </x:c>
      <x:c r="N86" s="51" t="str">
        <x:v>Not started</x:v>
      </x:c>
      <x:c r="O86" s="51" t="n">
        <x:v>0</x:v>
      </x:c>
      <x:c r="P86" s="51"/>
      <x:c r="Q86" s="53"/>
      <x:c r="R86" s="51"/>
      <x:c r="S86" s="34" t="str"/>
      <x:c r="T86" s="53" t="str">
        <x:f>IF(OR(Q86="",R86=""),"",Q86+IF(R86=1,1,IF(R86=2,3,IF(R86=3,7,IF(R86=4,14,30)))))</x:f>
      </x:c>
    </x:row>
    <x:row r="87" ht="46" customHeight="1">
      <x:c r="A87" s="51" t="n">
        <x:v>83</x:v>
      </x:c>
      <x:c r="B87" s="51" t="str">
        <x:v>2 - Depth</x:v>
      </x:c>
      <x:c r="C87" s="51" t="str">
        <x:v>P1</x:v>
      </x:c>
      <x:c r="D87" s="34" t="str">
        <x:v>Graphs</x:v>
      </x:c>
      <x:c r="E87" s="34" t="str">
        <x:v>Reverse graph / terminal safety</x:v>
      </x:c>
      <x:c r="F87" s="51" t="n">
        <x:v>802</x:v>
      </x:c>
      <x:c r="G87" s="52" t="str">
        <x:v>Find Eventual Safe States</x:v>
      </x:c>
      <x:c r="H87" s="52" t="str">
        <x:v>Medium</x:v>
      </x:c>
      <x:c r="I87" s="52" t="n">
        <x:v>27</x:v>
      </x:c>
      <x:c r="J87" s="34" t="str">
        <x:v>Safe nodes cannot reach a directed cycle</x:v>
      </x:c>
      <x:c r="K87" s="34" t="str">
        <x:v>Spans components, BFS, topo sort, DSU, shortest paths, and MST.</x:v>
      </x:c>
      <x:c r="L87" s="34" t="str">
        <x:v>Directional company-pattern signal: Amazon, Microsoft, Google, Uber, Walmart</x:v>
      </x:c>
      <x:c r="M87" s="49" t="str">
        <x:v>https://leetcode.com/problems/find-eventual-safe-states/</x:v>
      </x:c>
      <x:c r="N87" s="51" t="str">
        <x:v>Not started</x:v>
      </x:c>
      <x:c r="O87" s="51" t="n">
        <x:v>0</x:v>
      </x:c>
      <x:c r="P87" s="51"/>
      <x:c r="Q87" s="53"/>
      <x:c r="R87" s="51"/>
      <x:c r="S87" s="34" t="str"/>
      <x:c r="T87" s="53" t="str">
        <x:f>IF(OR(Q87="",R87=""),"",Q87+IF(R87=1,1,IF(R87=2,3,IF(R87=3,7,IF(R87=4,14,30)))))</x:f>
      </x:c>
    </x:row>
    <x:row r="88" ht="46" customHeight="1">
      <x:c r="A88" s="51" t="n">
        <x:v>84</x:v>
      </x:c>
      <x:c r="B88" s="51" t="str">
        <x:v>2 - Depth</x:v>
      </x:c>
      <x:c r="C88" s="51" t="str">
        <x:v>P1</x:v>
      </x:c>
      <x:c r="D88" s="34" t="str">
        <x:v>Graphs</x:v>
      </x:c>
      <x:c r="E88" s="34" t="str">
        <x:v>Weighted equation graph</x:v>
      </x:c>
      <x:c r="F88" s="51" t="n">
        <x:v>399</x:v>
      </x:c>
      <x:c r="G88" s="52" t="str">
        <x:v>Evaluate Division</x:v>
      </x:c>
      <x:c r="H88" s="52" t="str">
        <x:v>Medium</x:v>
      </x:c>
      <x:c r="I88" s="52" t="n">
        <x:v>27</x:v>
      </x:c>
      <x:c r="J88" s="34" t="str">
        <x:v>Ratios form weighted directed edges</x:v>
      </x:c>
      <x:c r="K88" s="34" t="str">
        <x:v>Spans components, BFS, topo sort, DSU, shortest paths, and MST.</x:v>
      </x:c>
      <x:c r="L88" s="34" t="str">
        <x:v>Directional company-pattern signal: Amazon, Microsoft, Google, Uber, Walmart</x:v>
      </x:c>
      <x:c r="M88" s="49" t="str">
        <x:v>https://leetcode.com/problems/evaluate-division/</x:v>
      </x:c>
      <x:c r="N88" s="51" t="str">
        <x:v>Not started</x:v>
      </x:c>
      <x:c r="O88" s="51" t="n">
        <x:v>0</x:v>
      </x:c>
      <x:c r="P88" s="51"/>
      <x:c r="Q88" s="53"/>
      <x:c r="R88" s="51"/>
      <x:c r="S88" s="34" t="str"/>
      <x:c r="T88" s="53" t="str">
        <x:f>IF(OR(Q88="",R88=""),"",Q88+IF(R88=1,1,IF(R88=2,3,IF(R88=3,7,IF(R88=4,14,30)))))</x:f>
      </x:c>
    </x:row>
    <x:row r="89" ht="46" customHeight="1">
      <x:c r="A89" s="51" t="n">
        <x:v>85</x:v>
      </x:c>
      <x:c r="B89" s="51" t="str">
        <x:v>1 - Core</x:v>
      </x:c>
      <x:c r="C89" s="51" t="str">
        <x:v>P0</x:v>
      </x:c>
      <x:c r="D89" s="34" t="str">
        <x:v>Graphs</x:v>
      </x:c>
      <x:c r="E89" s="34" t="str">
        <x:v>Unweighted shortest path</x:v>
      </x:c>
      <x:c r="F89" s="51" t="n">
        <x:v>1091</x:v>
      </x:c>
      <x:c r="G89" s="52" t="str">
        <x:v>Shortest Path in Binary Matrix</x:v>
      </x:c>
      <x:c r="H89" s="52" t="str">
        <x:v>Medium</x:v>
      </x:c>
      <x:c r="I89" s="52" t="n">
        <x:v>27</x:v>
      </x:c>
      <x:c r="J89" s="34" t="str">
        <x:v>BFS guarantees the first reached destination uses fewest steps</x:v>
      </x:c>
      <x:c r="K89" s="34" t="str">
        <x:v>Spans components, BFS, topo sort, DSU, shortest paths, and MST.</x:v>
      </x:c>
      <x:c r="L89" s="34" t="str">
        <x:v>Directional company-pattern signal: Amazon, Microsoft, Google, Uber, Walmart</x:v>
      </x:c>
      <x:c r="M89" s="49" t="str">
        <x:v>https://leetcode.com/problems/shortest-path-in-binary-matrix/</x:v>
      </x:c>
      <x:c r="N89" s="51" t="str">
        <x:v>Not started</x:v>
      </x:c>
      <x:c r="O89" s="51" t="n">
        <x:v>0</x:v>
      </x:c>
      <x:c r="P89" s="51"/>
      <x:c r="Q89" s="53"/>
      <x:c r="R89" s="51"/>
      <x:c r="S89" s="34" t="str"/>
      <x:c r="T89" s="53" t="str">
        <x:f>IF(OR(Q89="",R89=""),"",Q89+IF(R89=1,1,IF(R89=2,3,IF(R89=3,7,IF(R89=4,14,30)))))</x:f>
      </x:c>
    </x:row>
    <x:row r="90" ht="46" customHeight="1">
      <x:c r="A90" s="51" t="n">
        <x:v>86</x:v>
      </x:c>
      <x:c r="B90" s="51" t="str">
        <x:v>1 - Core</x:v>
      </x:c>
      <x:c r="C90" s="51" t="str">
        <x:v>P0</x:v>
      </x:c>
      <x:c r="D90" s="34" t="str">
        <x:v>Backtracking</x:v>
      </x:c>
      <x:c r="E90" s="34" t="str">
        <x:v>Decision tree / include-exclude</x:v>
      </x:c>
      <x:c r="F90" s="51" t="n">
        <x:v>78</x:v>
      </x:c>
      <x:c r="G90" s="52" t="str">
        <x:v>Subsets</x:v>
      </x:c>
      <x:c r="H90" s="52" t="str">
        <x:v>Medium</x:v>
      </x:c>
      <x:c r="I90" s="52" t="n">
        <x:v>27</x:v>
      </x:c>
      <x:c r="J90" s="34" t="str">
        <x:v>At each index choose whether to include the item</x:v>
      </x:c>
      <x:c r="K90" s="34" t="str">
        <x:v>Trains state restoration, pruning, and duplicate-safe enumeration.</x:v>
      </x:c>
      <x:c r="L90" s="34" t="str">
        <x:v>Directional company-pattern signal: Google, Amazon, Microsoft</x:v>
      </x:c>
      <x:c r="M90" s="49" t="str">
        <x:v>https://leetcode.com/problems/subsets/</x:v>
      </x:c>
      <x:c r="N90" s="51" t="str">
        <x:v>Not started</x:v>
      </x:c>
      <x:c r="O90" s="51" t="n">
        <x:v>0</x:v>
      </x:c>
      <x:c r="P90" s="51"/>
      <x:c r="Q90" s="53"/>
      <x:c r="R90" s="51"/>
      <x:c r="S90" s="34" t="str"/>
      <x:c r="T90" s="53" t="str">
        <x:f>IF(OR(Q90="",R90=""),"",Q90+IF(R90=1,1,IF(R90=2,3,IF(R90=3,7,IF(R90=4,14,30)))))</x:f>
      </x:c>
    </x:row>
    <x:row r="91" ht="46" customHeight="1">
      <x:c r="A91" s="51" t="n">
        <x:v>87</x:v>
      </x:c>
      <x:c r="B91" s="51" t="str">
        <x:v>1 - Core</x:v>
      </x:c>
      <x:c r="C91" s="51" t="str">
        <x:v>P0</x:v>
      </x:c>
      <x:c r="D91" s="34" t="str">
        <x:v>Backtracking</x:v>
      </x:c>
      <x:c r="E91" s="34" t="str">
        <x:v>Reusable choices</x:v>
      </x:c>
      <x:c r="F91" s="51" t="n">
        <x:v>39</x:v>
      </x:c>
      <x:c r="G91" s="52" t="str">
        <x:v>Combination Sum</x:v>
      </x:c>
      <x:c r="H91" s="52" t="str">
        <x:v>Medium</x:v>
      </x:c>
      <x:c r="I91" s="52" t="n">
        <x:v>27</x:v>
      </x:c>
      <x:c r="J91" s="34" t="str">
        <x:v>Keep the same index when a candidate may be reused</x:v>
      </x:c>
      <x:c r="K91" s="34" t="str">
        <x:v>Trains state restoration, pruning, and duplicate-safe enumeration.</x:v>
      </x:c>
      <x:c r="L91" s="34" t="str">
        <x:v>Directional company-pattern signal: Google, Amazon, Microsoft</x:v>
      </x:c>
      <x:c r="M91" s="49" t="str">
        <x:v>https://leetcode.com/problems/combination-sum/</x:v>
      </x:c>
      <x:c r="N91" s="51" t="str">
        <x:v>Not started</x:v>
      </x:c>
      <x:c r="O91" s="51" t="n">
        <x:v>0</x:v>
      </x:c>
      <x:c r="P91" s="51"/>
      <x:c r="Q91" s="53"/>
      <x:c r="R91" s="51"/>
      <x:c r="S91" s="34" t="str"/>
      <x:c r="T91" s="53" t="str">
        <x:f>IF(OR(Q91="",R91=""),"",Q91+IF(R91=1,1,IF(R91=2,3,IF(R91=3,7,IF(R91=4,14,30)))))</x:f>
      </x:c>
    </x:row>
    <x:row r="92" ht="46" customHeight="1">
      <x:c r="A92" s="51" t="n">
        <x:v>88</x:v>
      </x:c>
      <x:c r="B92" s="51" t="str">
        <x:v>1 - Core</x:v>
      </x:c>
      <x:c r="C92" s="51" t="str">
        <x:v>P0</x:v>
      </x:c>
      <x:c r="D92" s="34" t="str">
        <x:v>Backtracking</x:v>
      </x:c>
      <x:c r="E92" s="34" t="str">
        <x:v>Permutation state</x:v>
      </x:c>
      <x:c r="F92" s="51" t="n">
        <x:v>46</x:v>
      </x:c>
      <x:c r="G92" s="52" t="str">
        <x:v>Permutations</x:v>
      </x:c>
      <x:c r="H92" s="52" t="str">
        <x:v>Medium</x:v>
      </x:c>
      <x:c r="I92" s="52" t="n">
        <x:v>27</x:v>
      </x:c>
      <x:c r="J92" s="34" t="str">
        <x:v>Choose one unused value for each position</x:v>
      </x:c>
      <x:c r="K92" s="34" t="str">
        <x:v>Trains state restoration, pruning, and duplicate-safe enumeration.</x:v>
      </x:c>
      <x:c r="L92" s="34" t="str">
        <x:v>Directional company-pattern signal: Google, Amazon, Microsoft</x:v>
      </x:c>
      <x:c r="M92" s="49" t="str">
        <x:v>https://leetcode.com/problems/permutations/</x:v>
      </x:c>
      <x:c r="N92" s="51" t="str">
        <x:v>Not started</x:v>
      </x:c>
      <x:c r="O92" s="51" t="n">
        <x:v>0</x:v>
      </x:c>
      <x:c r="P92" s="51"/>
      <x:c r="Q92" s="53"/>
      <x:c r="R92" s="51"/>
      <x:c r="S92" s="34" t="str"/>
      <x:c r="T92" s="53" t="str">
        <x:f>IF(OR(Q92="",R92=""),"",Q92+IF(R92=1,1,IF(R92=2,3,IF(R92=3,7,IF(R92=4,14,30)))))</x:f>
      </x:c>
    </x:row>
    <x:row r="93" ht="46" customHeight="1">
      <x:c r="A93" s="51" t="n">
        <x:v>89</x:v>
      </x:c>
      <x:c r="B93" s="51" t="str">
        <x:v>2 - Depth</x:v>
      </x:c>
      <x:c r="C93" s="51" t="str">
        <x:v>P1</x:v>
      </x:c>
      <x:c r="D93" s="34" t="str">
        <x:v>Backtracking</x:v>
      </x:c>
      <x:c r="E93" s="34" t="str">
        <x:v>Partition with pruning</x:v>
      </x:c>
      <x:c r="F93" s="51" t="n">
        <x:v>131</x:v>
      </x:c>
      <x:c r="G93" s="52" t="str">
        <x:v>Palindrome Partitioning</x:v>
      </x:c>
      <x:c r="H93" s="52" t="str">
        <x:v>Medium</x:v>
      </x:c>
      <x:c r="I93" s="52" t="n">
        <x:v>27</x:v>
      </x:c>
      <x:c r="J93" s="34" t="str">
        <x:v>Only recurse after choosing a palindromic next segment</x:v>
      </x:c>
      <x:c r="K93" s="34" t="str">
        <x:v>Trains state restoration, pruning, and duplicate-safe enumeration.</x:v>
      </x:c>
      <x:c r="L93" s="34" t="str">
        <x:v>Directional company-pattern signal: Google, Amazon, Microsoft</x:v>
      </x:c>
      <x:c r="M93" s="49" t="str">
        <x:v>https://leetcode.com/problems/palindrome-partitioning/</x:v>
      </x:c>
      <x:c r="N93" s="51" t="str">
        <x:v>Not started</x:v>
      </x:c>
      <x:c r="O93" s="51" t="n">
        <x:v>0</x:v>
      </x:c>
      <x:c r="P93" s="51"/>
      <x:c r="Q93" s="53"/>
      <x:c r="R93" s="51"/>
      <x:c r="S93" s="34" t="str"/>
      <x:c r="T93" s="53" t="str">
        <x:f>IF(OR(Q93="",R93=""),"",Q93+IF(R93=1,1,IF(R93=2,3,IF(R93=3,7,IF(R93=4,14,30)))))</x:f>
      </x:c>
    </x:row>
    <x:row r="94" ht="46" customHeight="1">
      <x:c r="A94" s="51" t="n">
        <x:v>90</x:v>
      </x:c>
      <x:c r="B94" s="51" t="str">
        <x:v>1 - Core</x:v>
      </x:c>
      <x:c r="C94" s="51" t="str">
        <x:v>P0</x:v>
      </x:c>
      <x:c r="D94" s="34" t="str">
        <x:v>Backtracking</x:v>
      </x:c>
      <x:c r="E94" s="34" t="str">
        <x:v>Grid search with restoration</x:v>
      </x:c>
      <x:c r="F94" s="51" t="n">
        <x:v>79</x:v>
      </x:c>
      <x:c r="G94" s="52" t="str">
        <x:v>Word Search</x:v>
      </x:c>
      <x:c r="H94" s="52" t="str">
        <x:v>Medium</x:v>
      </x:c>
      <x:c r="I94" s="52" t="n">
        <x:v>27</x:v>
      </x:c>
      <x:c r="J94" s="34" t="str">
        <x:v>Mark a cell during the path and restore it on backtrack</x:v>
      </x:c>
      <x:c r="K94" s="34" t="str">
        <x:v>Trains state restoration, pruning, and duplicate-safe enumeration.</x:v>
      </x:c>
      <x:c r="L94" s="34" t="str">
        <x:v>Directional company-pattern signal: Google, Amazon, Microsoft</x:v>
      </x:c>
      <x:c r="M94" s="49" t="str">
        <x:v>https://leetcode.com/problems/word-search/</x:v>
      </x:c>
      <x:c r="N94" s="51" t="str">
        <x:v>Not started</x:v>
      </x:c>
      <x:c r="O94" s="51" t="n">
        <x:v>0</x:v>
      </x:c>
      <x:c r="P94" s="51"/>
      <x:c r="Q94" s="53"/>
      <x:c r="R94" s="51"/>
      <x:c r="S94" s="34" t="str"/>
      <x:c r="T94" s="53" t="str">
        <x:f>IF(OR(Q94="",R94=""),"",Q94+IF(R94=1,1,IF(R94=2,3,IF(R94=3,7,IF(R94=4,14,30)))))</x:f>
      </x:c>
    </x:row>
    <x:row r="95" ht="46" customHeight="1">
      <x:c r="A95" s="51" t="n">
        <x:v>91</x:v>
      </x:c>
      <x:c r="B95" s="51" t="str">
        <x:v>3 - Stretch</x:v>
      </x:c>
      <x:c r="C95" s="51" t="str">
        <x:v>P2</x:v>
      </x:c>
      <x:c r="D95" s="34" t="str">
        <x:v>Backtracking</x:v>
      </x:c>
      <x:c r="E95" s="34" t="str">
        <x:v>Constraint placement</x:v>
      </x:c>
      <x:c r="F95" s="51" t="n">
        <x:v>51</x:v>
      </x:c>
      <x:c r="G95" s="52" t="str">
        <x:v>N-Queens</x:v>
      </x:c>
      <x:c r="H95" s="52" t="str">
        <x:v>Hard</x:v>
      </x:c>
      <x:c r="I95" s="52" t="n">
        <x:v>42</x:v>
      </x:c>
      <x:c r="J95" s="34" t="str">
        <x:v>Track occupied columns and both diagonal identities</x:v>
      </x:c>
      <x:c r="K95" s="34" t="str">
        <x:v>Trains state restoration, pruning, and duplicate-safe enumeration.</x:v>
      </x:c>
      <x:c r="L95" s="34" t="str">
        <x:v>Directional company-pattern signal: Google, Amazon, Microsoft</x:v>
      </x:c>
      <x:c r="M95" s="49" t="str">
        <x:v>https://leetcode.com/problems/n-queens/</x:v>
      </x:c>
      <x:c r="N95" s="51" t="str">
        <x:v>Not started</x:v>
      </x:c>
      <x:c r="O95" s="51" t="n">
        <x:v>0</x:v>
      </x:c>
      <x:c r="P95" s="51"/>
      <x:c r="Q95" s="53"/>
      <x:c r="R95" s="51"/>
      <x:c r="S95" s="34" t="str"/>
      <x:c r="T95" s="53" t="str">
        <x:f>IF(OR(Q95="",R95=""),"",Q95+IF(R95=1,1,IF(R95=2,3,IF(R95=3,7,IF(R95=4,14,30)))))</x:f>
      </x:c>
    </x:row>
    <x:row r="96" ht="46" customHeight="1">
      <x:c r="A96" s="51" t="n">
        <x:v>92</x:v>
      </x:c>
      <x:c r="B96" s="51" t="str">
        <x:v>1 - Core</x:v>
      </x:c>
      <x:c r="C96" s="51" t="str">
        <x:v>P0</x:v>
      </x:c>
      <x:c r="D96" s="34" t="str">
        <x:v>Dynamic Programming</x:v>
      </x:c>
      <x:c r="E96" s="34" t="str">
        <x:v>One-step recurrence</x:v>
      </x:c>
      <x:c r="F96" s="51" t="n">
        <x:v>70</x:v>
      </x:c>
      <x:c r="G96" s="52" t="str">
        <x:v>Climbing Stairs</x:v>
      </x:c>
      <x:c r="H96" s="52" t="str">
        <x:v>Easy</x:v>
      </x:c>
      <x:c r="I96" s="52" t="n">
        <x:v>12</x:v>
      </x:c>
      <x:c r="J96" s="34" t="str">
        <x:v>Ways to reach i come from the previous two positions</x:v>
      </x:c>
      <x:c r="K96" s="34" t="str">
        <x:v>Covers core state families used in stronger product-company OAs.</x:v>
      </x:c>
      <x:c r="L96" s="34" t="str">
        <x:v>Directional company-pattern signal: Atlassian, Microsoft, Uber, Google, Amazon</x:v>
      </x:c>
      <x:c r="M96" s="49" t="str">
        <x:v>https://leetcode.com/problems/climbing-stairs/</x:v>
      </x:c>
      <x:c r="N96" s="51" t="str">
        <x:v>Not started</x:v>
      </x:c>
      <x:c r="O96" s="51" t="n">
        <x:v>0</x:v>
      </x:c>
      <x:c r="P96" s="51"/>
      <x:c r="Q96" s="53"/>
      <x:c r="R96" s="51"/>
      <x:c r="S96" s="34" t="str"/>
      <x:c r="T96" s="53" t="str">
        <x:f>IF(OR(Q96="",R96=""),"",Q96+IF(R96=1,1,IF(R96=2,3,IF(R96=3,7,IF(R96=4,14,30)))))</x:f>
      </x:c>
    </x:row>
    <x:row r="97" ht="46" customHeight="1">
      <x:c r="A97" s="51" t="n">
        <x:v>93</x:v>
      </x:c>
      <x:c r="B97" s="51" t="str">
        <x:v>1 - Core</x:v>
      </x:c>
      <x:c r="C97" s="51" t="str">
        <x:v>P0</x:v>
      </x:c>
      <x:c r="D97" s="34" t="str">
        <x:v>Dynamic Programming</x:v>
      </x:c>
      <x:c r="E97" s="34" t="str">
        <x:v>Take/skip</x:v>
      </x:c>
      <x:c r="F97" s="51" t="n">
        <x:v>198</x:v>
      </x:c>
      <x:c r="G97" s="52" t="str">
        <x:v>House Robber</x:v>
      </x:c>
      <x:c r="H97" s="52" t="str">
        <x:v>Medium</x:v>
      </x:c>
      <x:c r="I97" s="52" t="n">
        <x:v>27</x:v>
      </x:c>
      <x:c r="J97" s="34" t="str">
        <x:v>At each house choose current plus i-2 or skip</x:v>
      </x:c>
      <x:c r="K97" s="34" t="str">
        <x:v>Covers core state families used in stronger product-company OAs.</x:v>
      </x:c>
      <x:c r="L97" s="34" t="str">
        <x:v>Directional company-pattern signal: Atlassian, Microsoft, Uber, Google, Amazon</x:v>
      </x:c>
      <x:c r="M97" s="49" t="str">
        <x:v>https://leetcode.com/problems/house-robber/</x:v>
      </x:c>
      <x:c r="N97" s="51" t="str">
        <x:v>Not started</x:v>
      </x:c>
      <x:c r="O97" s="51" t="n">
        <x:v>0</x:v>
      </x:c>
      <x:c r="P97" s="51"/>
      <x:c r="Q97" s="53"/>
      <x:c r="R97" s="51"/>
      <x:c r="S97" s="34" t="str"/>
      <x:c r="T97" s="53" t="str">
        <x:f>IF(OR(Q97="",R97=""),"",Q97+IF(R97=1,1,IF(R97=2,3,IF(R97=3,7,IF(R97=4,14,30)))))</x:f>
      </x:c>
    </x:row>
    <x:row r="98" ht="46" customHeight="1">
      <x:c r="A98" s="51" t="n">
        <x:v>94</x:v>
      </x:c>
      <x:c r="B98" s="51" t="str">
        <x:v>2 - Depth</x:v>
      </x:c>
      <x:c r="C98" s="51" t="str">
        <x:v>P1</x:v>
      </x:c>
      <x:c r="D98" s="34" t="str">
        <x:v>Dynamic Programming</x:v>
      </x:c>
      <x:c r="E98" s="34" t="str">
        <x:v>Circular reduction</x:v>
      </x:c>
      <x:c r="F98" s="51" t="n">
        <x:v>213</x:v>
      </x:c>
      <x:c r="G98" s="52" t="str">
        <x:v>House Robber II</x:v>
      </x:c>
      <x:c r="H98" s="52" t="str">
        <x:v>Medium</x:v>
      </x:c>
      <x:c r="I98" s="52" t="n">
        <x:v>27</x:v>
      </x:c>
      <x:c r="J98" s="34" t="str">
        <x:v>Solve two linear cases because first and last cannot coexist</x:v>
      </x:c>
      <x:c r="K98" s="34" t="str">
        <x:v>Covers core state families used in stronger product-company OAs.</x:v>
      </x:c>
      <x:c r="L98" s="34" t="str">
        <x:v>Directional company-pattern signal: Atlassian, Microsoft, Uber, Google, Amazon</x:v>
      </x:c>
      <x:c r="M98" s="49" t="str">
        <x:v>https://leetcode.com/problems/house-robber-ii/</x:v>
      </x:c>
      <x:c r="N98" s="51" t="str">
        <x:v>Not started</x:v>
      </x:c>
      <x:c r="O98" s="51" t="n">
        <x:v>0</x:v>
      </x:c>
      <x:c r="P98" s="51"/>
      <x:c r="Q98" s="53"/>
      <x:c r="R98" s="51"/>
      <x:c r="S98" s="34" t="str"/>
      <x:c r="T98" s="53" t="str">
        <x:f>IF(OR(Q98="",R98=""),"",Q98+IF(R98=1,1,IF(R98=2,3,IF(R98=3,7,IF(R98=4,14,30)))))</x:f>
      </x:c>
    </x:row>
    <x:row r="99" ht="46" customHeight="1">
      <x:c r="A99" s="51" t="n">
        <x:v>95</x:v>
      </x:c>
      <x:c r="B99" s="51" t="str">
        <x:v>1 - Core</x:v>
      </x:c>
      <x:c r="C99" s="51" t="str">
        <x:v>P0</x:v>
      </x:c>
      <x:c r="D99" s="34" t="str">
        <x:v>Dynamic Programming</x:v>
      </x:c>
      <x:c r="E99" s="34" t="str">
        <x:v>Unbounded knapsack minimum</x:v>
      </x:c>
      <x:c r="F99" s="51" t="n">
        <x:v>322</x:v>
      </x:c>
      <x:c r="G99" s="52" t="str">
        <x:v>Coin Change</x:v>
      </x:c>
      <x:c r="H99" s="52" t="str">
        <x:v>Medium</x:v>
      </x:c>
      <x:c r="I99" s="52" t="n">
        <x:v>27</x:v>
      </x:c>
      <x:c r="J99" s="34" t="str">
        <x:v>Each amount reuses solutions of smaller amounts</x:v>
      </x:c>
      <x:c r="K99" s="34" t="str">
        <x:v>Covers core state families used in stronger product-company OAs.</x:v>
      </x:c>
      <x:c r="L99" s="34" t="str">
        <x:v>Directional company-pattern signal: Atlassian, Microsoft, Uber, Google, Amazon</x:v>
      </x:c>
      <x:c r="M99" s="49" t="str">
        <x:v>https://leetcode.com/problems/coin-change/</x:v>
      </x:c>
      <x:c r="N99" s="51" t="str">
        <x:v>Not started</x:v>
      </x:c>
      <x:c r="O99" s="51" t="n">
        <x:v>0</x:v>
      </x:c>
      <x:c r="P99" s="51"/>
      <x:c r="Q99" s="53"/>
      <x:c r="R99" s="51"/>
      <x:c r="S99" s="34" t="str"/>
      <x:c r="T99" s="53" t="str">
        <x:f>IF(OR(Q99="",R99=""),"",Q99+IF(R99=1,1,IF(R99=2,3,IF(R99=3,7,IF(R99=4,14,30)))))</x:f>
      </x:c>
    </x:row>
    <x:row r="100" ht="46" customHeight="1">
      <x:c r="A100" s="51" t="n">
        <x:v>96</x:v>
      </x:c>
      <x:c r="B100" s="51" t="str">
        <x:v>1 - Core</x:v>
      </x:c>
      <x:c r="C100" s="51" t="str">
        <x:v>P0</x:v>
      </x:c>
      <x:c r="D100" s="34" t="str">
        <x:v>Dynamic Programming</x:v>
      </x:c>
      <x:c r="E100" s="34" t="str">
        <x:v>0/1 subset sum</x:v>
      </x:c>
      <x:c r="F100" s="51" t="n">
        <x:v>416</x:v>
      </x:c>
      <x:c r="G100" s="52" t="str">
        <x:v>Partition Equal Subset Sum</x:v>
      </x:c>
      <x:c r="H100" s="52" t="str">
        <x:v>Medium</x:v>
      </x:c>
      <x:c r="I100" s="52" t="n">
        <x:v>27</x:v>
      </x:c>
      <x:c r="J100" s="34" t="str">
        <x:v>Reduce equal partition to reaching half the total</x:v>
      </x:c>
      <x:c r="K100" s="34" t="str">
        <x:v>Covers core state families used in stronger product-company OAs.</x:v>
      </x:c>
      <x:c r="L100" s="34" t="str">
        <x:v>Directional company-pattern signal: Atlassian, Microsoft, Uber, Google, Amazon</x:v>
      </x:c>
      <x:c r="M100" s="49" t="str">
        <x:v>https://leetcode.com/problems/partition-equal-subset-sum/</x:v>
      </x:c>
      <x:c r="N100" s="51" t="str">
        <x:v>Not started</x:v>
      </x:c>
      <x:c r="O100" s="51" t="n">
        <x:v>0</x:v>
      </x:c>
      <x:c r="P100" s="51"/>
      <x:c r="Q100" s="53"/>
      <x:c r="R100" s="51"/>
      <x:c r="S100" s="34" t="str"/>
      <x:c r="T100" s="53" t="str">
        <x:f>IF(OR(Q100="",R100=""),"",Q100+IF(R100=1,1,IF(R100=2,3,IF(R100=3,7,IF(R100=4,14,30)))))</x:f>
      </x:c>
    </x:row>
    <x:row r="101" ht="46" customHeight="1">
      <x:c r="A101" s="51" t="n">
        <x:v>97</x:v>
      </x:c>
      <x:c r="B101" s="51" t="str">
        <x:v>1 - Core</x:v>
      </x:c>
      <x:c r="C101" s="51" t="str">
        <x:v>P0</x:v>
      </x:c>
      <x:c r="D101" s="34" t="str">
        <x:v>Dynamic Programming</x:v>
      </x:c>
      <x:c r="E101" s="34" t="str">
        <x:v>LIS / patience sorting</x:v>
      </x:c>
      <x:c r="F101" s="51" t="n">
        <x:v>300</x:v>
      </x:c>
      <x:c r="G101" s="52" t="str">
        <x:v>Longest Increasing Subsequence</x:v>
      </x:c>
      <x:c r="H101" s="52" t="str">
        <x:v>Medium</x:v>
      </x:c>
      <x:c r="I101" s="52" t="n">
        <x:v>27</x:v>
      </x:c>
      <x:c r="J101" s="34" t="str">
        <x:v>Maintain the smallest possible tail for each length</x:v>
      </x:c>
      <x:c r="K101" s="34" t="str">
        <x:v>Covers core state families used in stronger product-company OAs.</x:v>
      </x:c>
      <x:c r="L101" s="34" t="str">
        <x:v>Directional company-pattern signal: Atlassian, Microsoft, Uber, Google, Amazon</x:v>
      </x:c>
      <x:c r="M101" s="49" t="str">
        <x:v>https://leetcode.com/problems/longest-increasing-subsequence/</x:v>
      </x:c>
      <x:c r="N101" s="51" t="str">
        <x:v>Not started</x:v>
      </x:c>
      <x:c r="O101" s="51" t="n">
        <x:v>0</x:v>
      </x:c>
      <x:c r="P101" s="51"/>
      <x:c r="Q101" s="53"/>
      <x:c r="R101" s="51"/>
      <x:c r="S101" s="34" t="str"/>
      <x:c r="T101" s="53" t="str">
        <x:f>IF(OR(Q101="",R101=""),"",Q101+IF(R101=1,1,IF(R101=2,3,IF(R101=3,7,IF(R101=4,14,30)))))</x:f>
      </x:c>
    </x:row>
    <x:row r="102" ht="46" customHeight="1">
      <x:c r="A102" s="51" t="n">
        <x:v>98</x:v>
      </x:c>
      <x:c r="B102" s="51" t="str">
        <x:v>1 - Core</x:v>
      </x:c>
      <x:c r="C102" s="51" t="str">
        <x:v>P0</x:v>
      </x:c>
      <x:c r="D102" s="34" t="str">
        <x:v>Dynamic Programming</x:v>
      </x:c>
      <x:c r="E102" s="34" t="str">
        <x:v>Two-sequence DP</x:v>
      </x:c>
      <x:c r="F102" s="51" t="n">
        <x:v>1143</x:v>
      </x:c>
      <x:c r="G102" s="52" t="str">
        <x:v>Longest Common Subsequence</x:v>
      </x:c>
      <x:c r="H102" s="52" t="str">
        <x:v>Medium</x:v>
      </x:c>
      <x:c r="I102" s="52" t="n">
        <x:v>27</x:v>
      </x:c>
      <x:c r="J102" s="34" t="str">
        <x:v>Matching characters advance both strings; otherwise skip one</x:v>
      </x:c>
      <x:c r="K102" s="34" t="str">
        <x:v>Covers core state families used in stronger product-company OAs.</x:v>
      </x:c>
      <x:c r="L102" s="34" t="str">
        <x:v>Directional company-pattern signal: Atlassian, Microsoft, Uber, Google, Amazon</x:v>
      </x:c>
      <x:c r="M102" s="49" t="str">
        <x:v>https://leetcode.com/problems/longest-common-subsequence/</x:v>
      </x:c>
      <x:c r="N102" s="51" t="str">
        <x:v>Not started</x:v>
      </x:c>
      <x:c r="O102" s="51" t="n">
        <x:v>0</x:v>
      </x:c>
      <x:c r="P102" s="51"/>
      <x:c r="Q102" s="53"/>
      <x:c r="R102" s="51"/>
      <x:c r="S102" s="34" t="str"/>
      <x:c r="T102" s="53" t="str">
        <x:f>IF(OR(Q102="",R102=""),"",Q102+IF(R102=1,1,IF(R102=2,3,IF(R102=3,7,IF(R102=4,14,30)))))</x:f>
      </x:c>
    </x:row>
    <x:row r="103" ht="46" customHeight="1">
      <x:c r="A103" s="51" t="n">
        <x:v>99</x:v>
      </x:c>
      <x:c r="B103" s="51" t="str">
        <x:v>1 - Core</x:v>
      </x:c>
      <x:c r="C103" s="51" t="str">
        <x:v>P0</x:v>
      </x:c>
      <x:c r="D103" s="34" t="str">
        <x:v>Dynamic Programming</x:v>
      </x:c>
      <x:c r="E103" s="34" t="str">
        <x:v>String segmentation</x:v>
      </x:c>
      <x:c r="F103" s="51" t="n">
        <x:v>139</x:v>
      </x:c>
      <x:c r="G103" s="52" t="str">
        <x:v>Word Break</x:v>
      </x:c>
      <x:c r="H103" s="52" t="str">
        <x:v>Medium</x:v>
      </x:c>
      <x:c r="I103" s="52" t="n">
        <x:v>27</x:v>
      </x:c>
      <x:c r="J103" s="34" t="str">
        <x:v>dp[i] means the prefix ending at i can be segmented</x:v>
      </x:c>
      <x:c r="K103" s="34" t="str">
        <x:v>Covers core state families used in stronger product-company OAs.</x:v>
      </x:c>
      <x:c r="L103" s="34" t="str">
        <x:v>Directional company-pattern signal: Atlassian, Microsoft, Uber, Google, Amazon</x:v>
      </x:c>
      <x:c r="M103" s="49" t="str">
        <x:v>https://leetcode.com/problems/word-break/</x:v>
      </x:c>
      <x:c r="N103" s="51" t="str">
        <x:v>Not started</x:v>
      </x:c>
      <x:c r="O103" s="51" t="n">
        <x:v>0</x:v>
      </x:c>
      <x:c r="P103" s="51"/>
      <x:c r="Q103" s="53"/>
      <x:c r="R103" s="51"/>
      <x:c r="S103" s="34" t="str"/>
      <x:c r="T103" s="53" t="str">
        <x:f>IF(OR(Q103="",R103=""),"",Q103+IF(R103=1,1,IF(R103=2,3,IF(R103=3,7,IF(R103=4,14,30)))))</x:f>
      </x:c>
    </x:row>
    <x:row r="104" ht="46" customHeight="1">
      <x:c r="A104" s="51" t="n">
        <x:v>100</x:v>
      </x:c>
      <x:c r="B104" s="51" t="str">
        <x:v>2 - Depth</x:v>
      </x:c>
      <x:c r="C104" s="51" t="str">
        <x:v>P1</x:v>
      </x:c>
      <x:c r="D104" s="34" t="str">
        <x:v>Dynamic Programming</x:v>
      </x:c>
      <x:c r="E104" s="34" t="str">
        <x:v>Decode-state transitions</x:v>
      </x:c>
      <x:c r="F104" s="51" t="n">
        <x:v>91</x:v>
      </x:c>
      <x:c r="G104" s="52" t="str">
        <x:v>Decode Ways</x:v>
      </x:c>
      <x:c r="H104" s="52" t="str">
        <x:v>Medium</x:v>
      </x:c>
      <x:c r="I104" s="52" t="n">
        <x:v>27</x:v>
      </x:c>
      <x:c r="J104" s="34" t="str">
        <x:v>Count valid one-digit and two-digit endings</x:v>
      </x:c>
      <x:c r="K104" s="34" t="str">
        <x:v>Covers core state families used in stronger product-company OAs.</x:v>
      </x:c>
      <x:c r="L104" s="34" t="str">
        <x:v>Directional company-pattern signal: Atlassian, Microsoft, Uber, Google, Amazon</x:v>
      </x:c>
      <x:c r="M104" s="49" t="str">
        <x:v>https://leetcode.com/problems/decode-ways/</x:v>
      </x:c>
      <x:c r="N104" s="51" t="str">
        <x:v>Not started</x:v>
      </x:c>
      <x:c r="O104" s="51" t="n">
        <x:v>0</x:v>
      </x:c>
      <x:c r="P104" s="51"/>
      <x:c r="Q104" s="53"/>
      <x:c r="R104" s="51"/>
      <x:c r="S104" s="34" t="str"/>
      <x:c r="T104" s="53" t="str">
        <x:f>IF(OR(Q104="",R104=""),"",Q104+IF(R104=1,1,IF(R104=2,3,IF(R104=3,7,IF(R104=4,14,30)))))</x:f>
      </x:c>
    </x:row>
    <x:row r="105" ht="46" customHeight="1">
      <x:c r="A105" s="51" t="n">
        <x:v>101</x:v>
      </x:c>
      <x:c r="B105" s="51" t="str">
        <x:v>1 - Core</x:v>
      </x:c>
      <x:c r="C105" s="51" t="str">
        <x:v>P0</x:v>
      </x:c>
      <x:c r="D105" s="34" t="str">
        <x:v>Dynamic Programming</x:v>
      </x:c>
      <x:c r="E105" s="34" t="str">
        <x:v>Grid path counting</x:v>
      </x:c>
      <x:c r="F105" s="51" t="n">
        <x:v>62</x:v>
      </x:c>
      <x:c r="G105" s="52" t="str">
        <x:v>Unique Paths</x:v>
      </x:c>
      <x:c r="H105" s="52" t="str">
        <x:v>Medium</x:v>
      </x:c>
      <x:c r="I105" s="52" t="n">
        <x:v>27</x:v>
      </x:c>
      <x:c r="J105" s="34" t="str">
        <x:v>Each cell receives paths from top and left</x:v>
      </x:c>
      <x:c r="K105" s="34" t="str">
        <x:v>Covers core state families used in stronger product-company OAs.</x:v>
      </x:c>
      <x:c r="L105" s="34" t="str">
        <x:v>Directional company-pattern signal: Atlassian, Microsoft, Uber, Google, Amazon</x:v>
      </x:c>
      <x:c r="M105" s="49" t="str">
        <x:v>https://leetcode.com/problems/unique-paths/</x:v>
      </x:c>
      <x:c r="N105" s="51" t="str">
        <x:v>Not started</x:v>
      </x:c>
      <x:c r="O105" s="51" t="n">
        <x:v>0</x:v>
      </x:c>
      <x:c r="P105" s="51"/>
      <x:c r="Q105" s="53"/>
      <x:c r="R105" s="51"/>
      <x:c r="S105" s="34" t="str"/>
      <x:c r="T105" s="53" t="str">
        <x:f>IF(OR(Q105="",R105=""),"",Q105+IF(R105=1,1,IF(R105=2,3,IF(R105=3,7,IF(R105=4,14,30)))))</x:f>
      </x:c>
    </x:row>
    <x:row r="106" ht="46" customHeight="1">
      <x:c r="A106" s="51" t="n">
        <x:v>102</x:v>
      </x:c>
      <x:c r="B106" s="51" t="str">
        <x:v>1 - Core</x:v>
      </x:c>
      <x:c r="C106" s="51" t="str">
        <x:v>P0</x:v>
      </x:c>
      <x:c r="D106" s="34" t="str">
        <x:v>Dynamic Programming</x:v>
      </x:c>
      <x:c r="E106" s="34" t="str">
        <x:v>Grid minimum cost</x:v>
      </x:c>
      <x:c r="F106" s="51" t="n">
        <x:v>64</x:v>
      </x:c>
      <x:c r="G106" s="52" t="str">
        <x:v>Minimum Path Sum</x:v>
      </x:c>
      <x:c r="H106" s="52" t="str">
        <x:v>Medium</x:v>
      </x:c>
      <x:c r="I106" s="52" t="n">
        <x:v>27</x:v>
      </x:c>
      <x:c r="J106" s="34" t="str">
        <x:v>Each cell extends the cheaper of top and left paths</x:v>
      </x:c>
      <x:c r="K106" s="34" t="str">
        <x:v>Covers core state families used in stronger product-company OAs.</x:v>
      </x:c>
      <x:c r="L106" s="34" t="str">
        <x:v>Directional company-pattern signal: Atlassian, Microsoft, Uber, Google, Amazon</x:v>
      </x:c>
      <x:c r="M106" s="49" t="str">
        <x:v>https://leetcode.com/problems/minimum-path-sum/</x:v>
      </x:c>
      <x:c r="N106" s="51" t="str">
        <x:v>Not started</x:v>
      </x:c>
      <x:c r="O106" s="51" t="n">
        <x:v>0</x:v>
      </x:c>
      <x:c r="P106" s="51"/>
      <x:c r="Q106" s="53"/>
      <x:c r="R106" s="51"/>
      <x:c r="S106" s="34" t="str"/>
      <x:c r="T106" s="53" t="str">
        <x:f>IF(OR(Q106="",R106=""),"",Q106+IF(R106=1,1,IF(R106=2,3,IF(R106=3,7,IF(R106=4,14,30)))))</x:f>
      </x:c>
    </x:row>
    <x:row r="107" ht="46" customHeight="1">
      <x:c r="A107" s="51" t="n">
        <x:v>103</x:v>
      </x:c>
      <x:c r="B107" s="51" t="str">
        <x:v>2 - Depth</x:v>
      </x:c>
      <x:c r="C107" s="51" t="str">
        <x:v>P1</x:v>
      </x:c>
      <x:c r="D107" s="34" t="str">
        <x:v>Dynamic Programming</x:v>
      </x:c>
      <x:c r="E107" s="34" t="str">
        <x:v>String edit DP</x:v>
      </x:c>
      <x:c r="F107" s="51" t="n">
        <x:v>72</x:v>
      </x:c>
      <x:c r="G107" s="52" t="str">
        <x:v>Edit Distance</x:v>
      </x:c>
      <x:c r="H107" s="52" t="str">
        <x:v>Medium</x:v>
      </x:c>
      <x:c r="I107" s="52" t="n">
        <x:v>27</x:v>
      </x:c>
      <x:c r="J107" s="34" t="str">
        <x:v>Insert, delete, and replace correspond to three neighboring states</x:v>
      </x:c>
      <x:c r="K107" s="34" t="str">
        <x:v>Covers core state families used in stronger product-company OAs.</x:v>
      </x:c>
      <x:c r="L107" s="34" t="str">
        <x:v>Directional company-pattern signal: Atlassian, Microsoft, Uber, Google, Amazon</x:v>
      </x:c>
      <x:c r="M107" s="49" t="str">
        <x:v>https://leetcode.com/problems/edit-distance/</x:v>
      </x:c>
      <x:c r="N107" s="51" t="str">
        <x:v>Not started</x:v>
      </x:c>
      <x:c r="O107" s="51" t="n">
        <x:v>0</x:v>
      </x:c>
      <x:c r="P107" s="51"/>
      <x:c r="Q107" s="53"/>
      <x:c r="R107" s="51"/>
      <x:c r="S107" s="34" t="str"/>
      <x:c r="T107" s="53" t="str">
        <x:f>IF(OR(Q107="",R107=""),"",Q107+IF(R107=1,1,IF(R107=2,3,IF(R107=3,7,IF(R107=4,14,30)))))</x:f>
      </x:c>
    </x:row>
    <x:row r="108" ht="46" customHeight="1">
      <x:c r="A108" s="51" t="n">
        <x:v>104</x:v>
      </x:c>
      <x:c r="B108" s="51" t="str">
        <x:v>3 - Stretch</x:v>
      </x:c>
      <x:c r="C108" s="51" t="str">
        <x:v>P2</x:v>
      </x:c>
      <x:c r="D108" s="34" t="str">
        <x:v>Dynamic Programming</x:v>
      </x:c>
      <x:c r="E108" s="34" t="str">
        <x:v>Counting subsequences</x:v>
      </x:c>
      <x:c r="F108" s="51" t="n">
        <x:v>115</x:v>
      </x:c>
      <x:c r="G108" s="52" t="str">
        <x:v>Distinct Subsequences</x:v>
      </x:c>
      <x:c r="H108" s="52" t="str">
        <x:v>Hard</x:v>
      </x:c>
      <x:c r="I108" s="52" t="n">
        <x:v>42</x:v>
      </x:c>
      <x:c r="J108" s="34" t="str">
        <x:v>Count ways to match prefixes with take or skip choices</x:v>
      </x:c>
      <x:c r="K108" s="34" t="str">
        <x:v>Covers core state families used in stronger product-company OAs.</x:v>
      </x:c>
      <x:c r="L108" s="34" t="str">
        <x:v>Directional company-pattern signal: Atlassian, Microsoft, Uber, Google, Amazon</x:v>
      </x:c>
      <x:c r="M108" s="49" t="str">
        <x:v>https://leetcode.com/problems/distinct-subsequences/</x:v>
      </x:c>
      <x:c r="N108" s="51" t="str">
        <x:v>Not started</x:v>
      </x:c>
      <x:c r="O108" s="51" t="n">
        <x:v>0</x:v>
      </x:c>
      <x:c r="P108" s="51"/>
      <x:c r="Q108" s="53"/>
      <x:c r="R108" s="51"/>
      <x:c r="S108" s="34" t="str"/>
      <x:c r="T108" s="53" t="str">
        <x:f>IF(OR(Q108="",R108=""),"",Q108+IF(R108=1,1,IF(R108=2,3,IF(R108=3,7,IF(R108=4,14,30)))))</x:f>
      </x:c>
    </x:row>
    <x:row r="109" ht="46" customHeight="1">
      <x:c r="A109" s="51" t="n">
        <x:v>105</x:v>
      </x:c>
      <x:c r="B109" s="51" t="str">
        <x:v>2 - Depth</x:v>
      </x:c>
      <x:c r="C109" s="51" t="str">
        <x:v>P1</x:v>
      </x:c>
      <x:c r="D109" s="34" t="str">
        <x:v>Dynamic Programming</x:v>
      </x:c>
      <x:c r="E109" s="34" t="str">
        <x:v>State machine</x:v>
      </x:c>
      <x:c r="F109" s="51" t="n">
        <x:v>309</x:v>
      </x:c>
      <x:c r="G109" s="52" t="str">
        <x:v>Best Time to Buy and Sell Stock with Cooldown</x:v>
      </x:c>
      <x:c r="H109" s="52" t="str">
        <x:v>Medium</x:v>
      </x:c>
      <x:c r="I109" s="52" t="n">
        <x:v>27</x:v>
      </x:c>
      <x:c r="J109" s="34" t="str">
        <x:v>Track hold, sold, and rest states across days</x:v>
      </x:c>
      <x:c r="K109" s="34" t="str">
        <x:v>Covers core state families used in stronger product-company OAs.</x:v>
      </x:c>
      <x:c r="L109" s="34" t="str">
        <x:v>Directional company-pattern signal: Atlassian, Microsoft, Uber, Google, Amazon</x:v>
      </x:c>
      <x:c r="M109" s="49" t="str">
        <x:v>https://leetcode.com/problems/best-time-to-buy-and-sell-stock-with-cooldown/</x:v>
      </x:c>
      <x:c r="N109" s="51" t="str">
        <x:v>Not started</x:v>
      </x:c>
      <x:c r="O109" s="51" t="n">
        <x:v>0</x:v>
      </x:c>
      <x:c r="P109" s="51"/>
      <x:c r="Q109" s="53"/>
      <x:c r="R109" s="51"/>
      <x:c r="S109" s="34" t="str"/>
      <x:c r="T109" s="53" t="str">
        <x:f>IF(OR(Q109="",R109=""),"",Q109+IF(R109=1,1,IF(R109=2,3,IF(R109=3,7,IF(R109=4,14,30)))))</x:f>
      </x:c>
    </x:row>
    <x:row r="110" ht="46" customHeight="1">
      <x:c r="A110" s="51" t="n">
        <x:v>106</x:v>
      </x:c>
      <x:c r="B110" s="51" t="str">
        <x:v>3 - Stretch</x:v>
      </x:c>
      <x:c r="C110" s="51" t="str">
        <x:v>P2</x:v>
      </x:c>
      <x:c r="D110" s="34" t="str">
        <x:v>Dynamic Programming</x:v>
      </x:c>
      <x:c r="E110" s="34" t="str">
        <x:v>Interval DP</x:v>
      </x:c>
      <x:c r="F110" s="51" t="n">
        <x:v>312</x:v>
      </x:c>
      <x:c r="G110" s="52" t="str">
        <x:v>Burst Balloons</x:v>
      </x:c>
      <x:c r="H110" s="52" t="str">
        <x:v>Hard</x:v>
      </x:c>
      <x:c r="I110" s="52" t="n">
        <x:v>42</x:v>
      </x:c>
      <x:c r="J110" s="34" t="str">
        <x:v>Choose which balloon is burst last inside an interval</x:v>
      </x:c>
      <x:c r="K110" s="34" t="str">
        <x:v>Covers core state families used in stronger product-company OAs.</x:v>
      </x:c>
      <x:c r="L110" s="34" t="str">
        <x:v>Directional company-pattern signal: Atlassian, Microsoft, Uber, Google, Amazon</x:v>
      </x:c>
      <x:c r="M110" s="49" t="str">
        <x:v>https://leetcode.com/problems/burst-balloons/</x:v>
      </x:c>
      <x:c r="N110" s="51" t="str">
        <x:v>Not started</x:v>
      </x:c>
      <x:c r="O110" s="51" t="n">
        <x:v>0</x:v>
      </x:c>
      <x:c r="P110" s="51"/>
      <x:c r="Q110" s="53"/>
      <x:c r="R110" s="51"/>
      <x:c r="S110" s="34" t="str"/>
      <x:c r="T110" s="53" t="str">
        <x:f>IF(OR(Q110="",R110=""),"",Q110+IF(R110=1,1,IF(R110=2,3,IF(R110=3,7,IF(R110=4,14,30)))))</x:f>
      </x:c>
    </x:row>
    <x:row r="111" ht="46" customHeight="1">
      <x:c r="A111" s="51" t="n">
        <x:v>107</x:v>
      </x:c>
      <x:c r="B111" s="51" t="str">
        <x:v>2 - Depth</x:v>
      </x:c>
      <x:c r="C111" s="51" t="str">
        <x:v>P1</x:v>
      </x:c>
      <x:c r="D111" s="34" t="str">
        <x:v>Dynamic Programming</x:v>
      </x:c>
      <x:c r="E111" s="34" t="str">
        <x:v>Signed subset count</x:v>
      </x:c>
      <x:c r="F111" s="51" t="n">
        <x:v>494</x:v>
      </x:c>
      <x:c r="G111" s="52" t="str">
        <x:v>Target Sum</x:v>
      </x:c>
      <x:c r="H111" s="52" t="str">
        <x:v>Medium</x:v>
      </x:c>
      <x:c r="I111" s="52" t="n">
        <x:v>27</x:v>
      </x:c>
      <x:c r="J111" s="34" t="str">
        <x:v>Transform plus/minus assignments into subset-sum counting</x:v>
      </x:c>
      <x:c r="K111" s="34" t="str">
        <x:v>Covers core state families used in stronger product-company OAs.</x:v>
      </x:c>
      <x:c r="L111" s="34" t="str">
        <x:v>Directional company-pattern signal: Atlassian, Microsoft, Uber, Google, Amazon</x:v>
      </x:c>
      <x:c r="M111" s="49" t="str">
        <x:v>https://leetcode.com/problems/target-sum/</x:v>
      </x:c>
      <x:c r="N111" s="51" t="str">
        <x:v>Not started</x:v>
      </x:c>
      <x:c r="O111" s="51" t="n">
        <x:v>0</x:v>
      </x:c>
      <x:c r="P111" s="51"/>
      <x:c r="Q111" s="53"/>
      <x:c r="R111" s="51"/>
      <x:c r="S111" s="34" t="str"/>
      <x:c r="T111" s="53" t="str">
        <x:f>IF(OR(Q111="",R111=""),"",Q111+IF(R111=1,1,IF(R111=2,3,IF(R111=3,7,IF(R111=4,14,30)))))</x:f>
      </x:c>
    </x:row>
    <x:row r="112" ht="46" customHeight="1">
      <x:c r="A112" s="51" t="n">
        <x:v>108</x:v>
      </x:c>
      <x:c r="B112" s="51" t="str">
        <x:v>1 - Core</x:v>
      </x:c>
      <x:c r="C112" s="51" t="str">
        <x:v>P0</x:v>
      </x:c>
      <x:c r="D112" s="34" t="str">
        <x:v>Trie &amp; String</x:v>
      </x:c>
      <x:c r="E112" s="34" t="str">
        <x:v>Trie fundamentals</x:v>
      </x:c>
      <x:c r="F112" s="51" t="n">
        <x:v>208</x:v>
      </x:c>
      <x:c r="G112" s="52" t="str">
        <x:v>Implement Trie (Prefix Tree)</x:v>
      </x:c>
      <x:c r="H112" s="52" t="str">
        <x:v>Medium</x:v>
      </x:c>
      <x:c r="I112" s="52" t="n">
        <x:v>27</x:v>
      </x:c>
      <x:c r="J112" s="34" t="str">
        <x:v>Operations share prefixes, so represent characters as tree edges</x:v>
      </x:c>
      <x:c r="K112" s="34" t="str">
        <x:v>Targets prefix systems and implementation-heavy string problems.</x:v>
      </x:c>
      <x:c r="L112" s="34" t="str">
        <x:v>Reported pattern: Atlassian and Adobe (Trie implementation/use)</x:v>
      </x:c>
      <x:c r="M112" s="49" t="str">
        <x:v>https://leetcode.com/problems/implement-trie-prefix-tree/</x:v>
      </x:c>
      <x:c r="N112" s="51" t="str">
        <x:v>Not started</x:v>
      </x:c>
      <x:c r="O112" s="51" t="n">
        <x:v>0</x:v>
      </x:c>
      <x:c r="P112" s="51"/>
      <x:c r="Q112" s="53"/>
      <x:c r="R112" s="51"/>
      <x:c r="S112" s="34" t="str"/>
      <x:c r="T112" s="53" t="str">
        <x:f>IF(OR(Q112="",R112=""),"",Q112+IF(R112=1,1,IF(R112=2,3,IF(R112=3,7,IF(R112=4,14,30)))))</x:f>
      </x:c>
    </x:row>
    <x:row r="113" ht="46" customHeight="1">
      <x:c r="A113" s="51" t="n">
        <x:v>109</x:v>
      </x:c>
      <x:c r="B113" s="51" t="str">
        <x:v>2 - Depth</x:v>
      </x:c>
      <x:c r="C113" s="51" t="str">
        <x:v>P1</x:v>
      </x:c>
      <x:c r="D113" s="34" t="str">
        <x:v>Trie &amp; String</x:v>
      </x:c>
      <x:c r="E113" s="34" t="str">
        <x:v>Trie + board backtracking</x:v>
      </x:c>
      <x:c r="F113" s="51" t="n">
        <x:v>212</x:v>
      </x:c>
      <x:c r="G113" s="52" t="str">
        <x:v>Word Search II</x:v>
      </x:c>
      <x:c r="H113" s="52" t="str">
        <x:v>Hard</x:v>
      </x:c>
      <x:c r="I113" s="52" t="n">
        <x:v>42</x:v>
      </x:c>
      <x:c r="J113" s="34" t="str">
        <x:v>Traverse the board and dictionary trie simultaneously</x:v>
      </x:c>
      <x:c r="K113" s="34" t="str">
        <x:v>Targets prefix systems and implementation-heavy string problems.</x:v>
      </x:c>
      <x:c r="L113" s="34" t="str">
        <x:v>Directional company-pattern signal: Atlassian, Adobe, Amazon, Google</x:v>
      </x:c>
      <x:c r="M113" s="49" t="str">
        <x:v>https://leetcode.com/problems/word-search-ii/</x:v>
      </x:c>
      <x:c r="N113" s="51" t="str">
        <x:v>Not started</x:v>
      </x:c>
      <x:c r="O113" s="51" t="n">
        <x:v>0</x:v>
      </x:c>
      <x:c r="P113" s="51"/>
      <x:c r="Q113" s="53"/>
      <x:c r="R113" s="51"/>
      <x:c r="S113" s="34" t="str"/>
      <x:c r="T113" s="53" t="str">
        <x:f>IF(OR(Q113="",R113=""),"",Q113+IF(R113=1,1,IF(R113=2,3,IF(R113=3,7,IF(R113=4,14,30)))))</x:f>
      </x:c>
    </x:row>
    <x:row r="114" ht="46" customHeight="1">
      <x:c r="A114" s="51" t="n">
        <x:v>110</x:v>
      </x:c>
      <x:c r="B114" s="51" t="str">
        <x:v>2 - Depth</x:v>
      </x:c>
      <x:c r="C114" s="51" t="str">
        <x:v>P1</x:v>
      </x:c>
      <x:c r="D114" s="34" t="str">
        <x:v>Trie &amp; String</x:v>
      </x:c>
      <x:c r="E114" s="34" t="str">
        <x:v>Wildcard trie search</x:v>
      </x:c>
      <x:c r="F114" s="51" t="n">
        <x:v>211</x:v>
      </x:c>
      <x:c r="G114" s="52" t="str">
        <x:v>Design Add and Search Words Data Structure</x:v>
      </x:c>
      <x:c r="H114" s="52" t="str">
        <x:v>Medium</x:v>
      </x:c>
      <x:c r="I114" s="52" t="n">
        <x:v>27</x:v>
      </x:c>
      <x:c r="J114" s="34" t="str">
        <x:v>A wildcard branches to every child at that trie depth</x:v>
      </x:c>
      <x:c r="K114" s="34" t="str">
        <x:v>Targets prefix systems and implementation-heavy string problems.</x:v>
      </x:c>
      <x:c r="L114" s="34" t="str">
        <x:v>Directional company-pattern signal: Atlassian, Adobe, Amazon, Google</x:v>
      </x:c>
      <x:c r="M114" s="49" t="str">
        <x:v>https://leetcode.com/problems/design-add-and-search-words-data-structure/</x:v>
      </x:c>
      <x:c r="N114" s="51" t="str">
        <x:v>Not started</x:v>
      </x:c>
      <x:c r="O114" s="51" t="n">
        <x:v>0</x:v>
      </x:c>
      <x:c r="P114" s="51"/>
      <x:c r="Q114" s="53"/>
      <x:c r="R114" s="51"/>
      <x:c r="S114" s="34" t="str"/>
      <x:c r="T114" s="53" t="str">
        <x:f>IF(OR(Q114="",R114=""),"",Q114+IF(R114=1,1,IF(R114=2,3,IF(R114=3,7,IF(R114=4,14,30)))))</x:f>
      </x:c>
    </x:row>
    <x:row r="115" ht="46" customHeight="1">
      <x:c r="A115" s="51" t="n">
        <x:v>111</x:v>
      </x:c>
      <x:c r="B115" s="51" t="str">
        <x:v>1 - Core</x:v>
      </x:c>
      <x:c r="C115" s="51" t="str">
        <x:v>P0</x:v>
      </x:c>
      <x:c r="D115" s="34" t="str">
        <x:v>Trie &amp; String</x:v>
      </x:c>
      <x:c r="E115" s="34" t="str">
        <x:v>Prefix suggestions</x:v>
      </x:c>
      <x:c r="F115" s="51" t="n">
        <x:v>1268</x:v>
      </x:c>
      <x:c r="G115" s="52" t="str">
        <x:v>Search Suggestions System</x:v>
      </x:c>
      <x:c r="H115" s="52" t="str">
        <x:v>Medium</x:v>
      </x:c>
      <x:c r="I115" s="52" t="n">
        <x:v>27</x:v>
      </x:c>
      <x:c r="J115" s="34" t="str">
        <x:v>Retrieve a small ordered set for each growing prefix</x:v>
      </x:c>
      <x:c r="K115" s="34" t="str">
        <x:v>Targets prefix systems and implementation-heavy string problems.</x:v>
      </x:c>
      <x:c r="L115" s="34" t="str">
        <x:v>Reported analogue: Atlassian (large-scale prefix suggestion system)</x:v>
      </x:c>
      <x:c r="M115" s="49" t="str">
        <x:v>https://leetcode.com/problems/search-suggestions-system/</x:v>
      </x:c>
      <x:c r="N115" s="51" t="str">
        <x:v>Not started</x:v>
      </x:c>
      <x:c r="O115" s="51" t="n">
        <x:v>0</x:v>
      </x:c>
      <x:c r="P115" s="51"/>
      <x:c r="Q115" s="53"/>
      <x:c r="R115" s="51"/>
      <x:c r="S115" s="34" t="str"/>
      <x:c r="T115" s="53" t="str">
        <x:f>IF(OR(Q115="",R115=""),"",Q115+IF(R115=1,1,IF(R115=2,3,IF(R115=3,7,IF(R115=4,14,30)))))</x:f>
      </x:c>
    </x:row>
    <x:row r="116" ht="46" customHeight="1">
      <x:c r="A116" s="51" t="n">
        <x:v>112</x:v>
      </x:c>
      <x:c r="B116" s="51" t="str">
        <x:v>1 - Core</x:v>
      </x:c>
      <x:c r="C116" s="51" t="str">
        <x:v>P0</x:v>
      </x:c>
      <x:c r="D116" s="34" t="str">
        <x:v>Trie &amp; String</x:v>
      </x:c>
      <x:c r="E116" s="34" t="str">
        <x:v>In-place run-length encoding</x:v>
      </x:c>
      <x:c r="F116" s="51" t="n">
        <x:v>443</x:v>
      </x:c>
      <x:c r="G116" s="52" t="str">
        <x:v>String Compression</x:v>
      </x:c>
      <x:c r="H116" s="52" t="str">
        <x:v>Medium</x:v>
      </x:c>
      <x:c r="I116" s="52" t="n">
        <x:v>27</x:v>
      </x:c>
      <x:c r="J116" s="34" t="str">
        <x:v>Read groups with one pointer and write compressed output with another</x:v>
      </x:c>
      <x:c r="K116" s="34" t="str">
        <x:v>Targets prefix systems and implementation-heavy string problems.</x:v>
      </x:c>
      <x:c r="L116" s="34" t="str">
        <x:v>Reported question: Goldman Sachs 2025 OA (string compression)</x:v>
      </x:c>
      <x:c r="M116" s="49" t="str">
        <x:v>https://leetcode.com/problems/string-compression/</x:v>
      </x:c>
      <x:c r="N116" s="51" t="str">
        <x:v>Not started</x:v>
      </x:c>
      <x:c r="O116" s="51" t="n">
        <x:v>0</x:v>
      </x:c>
      <x:c r="P116" s="51"/>
      <x:c r="Q116" s="53"/>
      <x:c r="R116" s="51"/>
      <x:c r="S116" s="34" t="str"/>
      <x:c r="T116" s="53" t="str">
        <x:f>IF(OR(Q116="",R116=""),"",Q116+IF(R116=1,1,IF(R116=2,3,IF(R116=3,7,IF(R116=4,14,30)))))</x:f>
      </x:c>
    </x:row>
    <x:row r="117" ht="46" customHeight="1">
      <x:c r="A117" s="51" t="n">
        <x:v>113</x:v>
      </x:c>
      <x:c r="B117" s="51" t="str">
        <x:v>2 - Depth</x:v>
      </x:c>
      <x:c r="C117" s="51" t="str">
        <x:v>P1</x:v>
      </x:c>
      <x:c r="D117" s="34" t="str">
        <x:v>Bit, Math &amp; Combinatorics</x:v>
      </x:c>
      <x:c r="E117" s="34" t="str">
        <x:v>Finite-state bit counts</x:v>
      </x:c>
      <x:c r="F117" s="51" t="n">
        <x:v>137</x:v>
      </x:c>
      <x:c r="G117" s="52" t="str">
        <x:v>Single Number II</x:v>
      </x:c>
      <x:c r="H117" s="52" t="str">
        <x:v>Medium</x:v>
      </x:c>
      <x:c r="I117" s="52" t="n">
        <x:v>27</x:v>
      </x:c>
      <x:c r="J117" s="34" t="str">
        <x:v>Track bit counts modulo three without per-bit arrays</x:v>
      </x:c>
      <x:c r="K117" s="34" t="str">
        <x:v>Adds compact-state and arithmetic problems that break template-only prep.</x:v>
      </x:c>
      <x:c r="L117" s="34" t="str">
        <x:v>Directional company-pattern signal: Microsoft, Google, Adobe, Goldman Sachs</x:v>
      </x:c>
      <x:c r="M117" s="49" t="str">
        <x:v>https://leetcode.com/problems/single-number-ii/</x:v>
      </x:c>
      <x:c r="N117" s="51" t="str">
        <x:v>Not started</x:v>
      </x:c>
      <x:c r="O117" s="51" t="n">
        <x:v>0</x:v>
      </x:c>
      <x:c r="P117" s="51"/>
      <x:c r="Q117" s="53"/>
      <x:c r="R117" s="51"/>
      <x:c r="S117" s="34" t="str"/>
      <x:c r="T117" s="53" t="str">
        <x:f>IF(OR(Q117="",R117=""),"",Q117+IF(R117=1,1,IF(R117=2,3,IF(R117=3,7,IF(R117=4,14,30)))))</x:f>
      </x:c>
    </x:row>
    <x:row r="118" ht="46" customHeight="1">
      <x:c r="A118" s="51" t="n">
        <x:v>114</x:v>
      </x:c>
      <x:c r="B118" s="51" t="str">
        <x:v>1 - Core</x:v>
      </x:c>
      <x:c r="C118" s="51" t="str">
        <x:v>P0</x:v>
      </x:c>
      <x:c r="D118" s="34" t="str">
        <x:v>Bit, Math &amp; Combinatorics</x:v>
      </x:c>
      <x:c r="E118" s="34" t="str">
        <x:v>Lowest-set-bit recurrence</x:v>
      </x:c>
      <x:c r="F118" s="51" t="n">
        <x:v>338</x:v>
      </x:c>
      <x:c r="G118" s="52" t="str">
        <x:v>Counting Bits</x:v>
      </x:c>
      <x:c r="H118" s="52" t="str">
        <x:v>Easy</x:v>
      </x:c>
      <x:c r="I118" s="52" t="n">
        <x:v>12</x:v>
      </x:c>
      <x:c r="J118" s="34" t="str">
        <x:v>Remove the lowest set bit to reuse a smaller answer</x:v>
      </x:c>
      <x:c r="K118" s="34" t="str">
        <x:v>Adds compact-state and arithmetic problems that break template-only prep.</x:v>
      </x:c>
      <x:c r="L118" s="34" t="str">
        <x:v>Directional company-pattern signal: Microsoft, Google, Adobe, Goldman Sachs</x:v>
      </x:c>
      <x:c r="M118" s="49" t="str">
        <x:v>https://leetcode.com/problems/counting-bits/</x:v>
      </x:c>
      <x:c r="N118" s="51" t="str">
        <x:v>Not started</x:v>
      </x:c>
      <x:c r="O118" s="51" t="n">
        <x:v>0</x:v>
      </x:c>
      <x:c r="P118" s="51"/>
      <x:c r="Q118" s="53"/>
      <x:c r="R118" s="51"/>
      <x:c r="S118" s="34" t="str"/>
      <x:c r="T118" s="53" t="str">
        <x:f>IF(OR(Q118="",R118=""),"",Q118+IF(R118=1,1,IF(R118=2,3,IF(R118=3,7,IF(R118=4,14,30)))))</x:f>
      </x:c>
    </x:row>
    <x:row r="119" ht="46" customHeight="1">
      <x:c r="A119" s="51" t="n">
        <x:v>115</x:v>
      </x:c>
      <x:c r="B119" s="51" t="str">
        <x:v>2 - Depth</x:v>
      </x:c>
      <x:c r="C119" s="51" t="str">
        <x:v>P1</x:v>
      </x:c>
      <x:c r="D119" s="34" t="str">
        <x:v>Bit, Math &amp; Combinatorics</x:v>
      </x:c>
      <x:c r="E119" s="34" t="str">
        <x:v>Adder from bit operations</x:v>
      </x:c>
      <x:c r="F119" s="51" t="n">
        <x:v>371</x:v>
      </x:c>
      <x:c r="G119" s="52" t="str">
        <x:v>Sum of Two Integers</x:v>
      </x:c>
      <x:c r="H119" s="52" t="str">
        <x:v>Medium</x:v>
      </x:c>
      <x:c r="I119" s="52" t="n">
        <x:v>27</x:v>
      </x:c>
      <x:c r="J119" s="34" t="str">
        <x:v>XOR adds without carry; AND shifted left produces carry</x:v>
      </x:c>
      <x:c r="K119" s="34" t="str">
        <x:v>Adds compact-state and arithmetic problems that break template-only prep.</x:v>
      </x:c>
      <x:c r="L119" s="34" t="str">
        <x:v>Directional company-pattern signal: Microsoft, Google, Adobe, Goldman Sachs</x:v>
      </x:c>
      <x:c r="M119" s="49" t="str">
        <x:v>https://leetcode.com/problems/sum-of-two-integers/</x:v>
      </x:c>
      <x:c r="N119" s="51" t="str">
        <x:v>Not started</x:v>
      </x:c>
      <x:c r="O119" s="51" t="n">
        <x:v>0</x:v>
      </x:c>
      <x:c r="P119" s="51"/>
      <x:c r="Q119" s="53"/>
      <x:c r="R119" s="51"/>
      <x:c r="S119" s="34" t="str"/>
      <x:c r="T119" s="53" t="str">
        <x:f>IF(OR(Q119="",R119=""),"",Q119+IF(R119=1,1,IF(R119=2,3,IF(R119=3,7,IF(R119=4,14,30)))))</x:f>
      </x:c>
    </x:row>
    <x:row r="120" ht="46" customHeight="1">
      <x:c r="A120" s="51" t="n">
        <x:v>116</x:v>
      </x:c>
      <x:c r="B120" s="51" t="str">
        <x:v>1 - Core</x:v>
      </x:c>
      <x:c r="C120" s="51" t="str">
        <x:v>P0</x:v>
      </x:c>
      <x:c r="D120" s="34" t="str">
        <x:v>Bit, Math &amp; Combinatorics</x:v>
      </x:c>
      <x:c r="E120" s="34" t="str">
        <x:v>Fast exponentiation</x:v>
      </x:c>
      <x:c r="F120" s="51" t="n">
        <x:v>50</x:v>
      </x:c>
      <x:c r="G120" s="52" t="str">
        <x:v>Pow(x, n)</x:v>
      </x:c>
      <x:c r="H120" s="52" t="str">
        <x:v>Medium</x:v>
      </x:c>
      <x:c r="I120" s="52" t="n">
        <x:v>27</x:v>
      </x:c>
      <x:c r="J120" s="34" t="str">
        <x:v>Square the base and halve the exponent</x:v>
      </x:c>
      <x:c r="K120" s="34" t="str">
        <x:v>Adds compact-state and arithmetic problems that break template-only prep.</x:v>
      </x:c>
      <x:c r="L120" s="34" t="str">
        <x:v>Directional company-pattern signal: Microsoft, Google, Adobe, Goldman Sachs</x:v>
      </x:c>
      <x:c r="M120" s="49" t="str">
        <x:v>https://leetcode.com/problems/powx-n/</x:v>
      </x:c>
      <x:c r="N120" s="51" t="str">
        <x:v>Not started</x:v>
      </x:c>
      <x:c r="O120" s="51" t="n">
        <x:v>0</x:v>
      </x:c>
      <x:c r="P120" s="51"/>
      <x:c r="Q120" s="53"/>
      <x:c r="R120" s="51"/>
      <x:c r="S120" s="34" t="str"/>
      <x:c r="T120" s="53" t="str">
        <x:f>IF(OR(Q120="",R120=""),"",Q120+IF(R120=1,1,IF(R120=2,3,IF(R120=3,7,IF(R120=4,14,30)))))</x:f>
      </x:c>
    </x:row>
    <x:row r="121" ht="46" customHeight="1">
      <x:c r="A121" s="51" t="n">
        <x:v>117</x:v>
      </x:c>
      <x:c r="B121" s="51" t="str">
        <x:v>1 - Core</x:v>
      </x:c>
      <x:c r="C121" s="51" t="str">
        <x:v>P0</x:v>
      </x:c>
      <x:c r="D121" s="34" t="str">
        <x:v>Bit, Math &amp; Combinatorics</x:v>
      </x:c>
      <x:c r="E121" s="34" t="str">
        <x:v>Sieve</x:v>
      </x:c>
      <x:c r="F121" s="51" t="n">
        <x:v>204</x:v>
      </x:c>
      <x:c r="G121" s="52" t="str">
        <x:v>Count Primes</x:v>
      </x:c>
      <x:c r="H121" s="52" t="str">
        <x:v>Medium</x:v>
      </x:c>
      <x:c r="I121" s="52" t="n">
        <x:v>27</x:v>
      </x:c>
      <x:c r="J121" s="34" t="str">
        <x:v>Mark multiples beginning at p squared</x:v>
      </x:c>
      <x:c r="K121" s="34" t="str">
        <x:v>Adds compact-state and arithmetic problems that break template-only prep.</x:v>
      </x:c>
      <x:c r="L121" s="34" t="str">
        <x:v>Directional company-pattern signal: Microsoft, Google, Adobe, Goldman Sachs</x:v>
      </x:c>
      <x:c r="M121" s="49" t="str">
        <x:v>https://leetcode.com/problems/count-primes/</x:v>
      </x:c>
      <x:c r="N121" s="51" t="str">
        <x:v>Not started</x:v>
      </x:c>
      <x:c r="O121" s="51" t="n">
        <x:v>0</x:v>
      </x:c>
      <x:c r="P121" s="51"/>
      <x:c r="Q121" s="53"/>
      <x:c r="R121" s="51"/>
      <x:c r="S121" s="34" t="str"/>
      <x:c r="T121" s="53" t="str">
        <x:f>IF(OR(Q121="",R121=""),"",Q121+IF(R121=1,1,IF(R121=2,3,IF(R121=3,7,IF(R121=4,14,30)))))</x:f>
      </x:c>
    </x:row>
    <x:row r="122" ht="46" customHeight="1">
      <x:c r="A122" s="51" t="n">
        <x:v>118</x:v>
      </x:c>
      <x:c r="B122" s="51" t="str">
        <x:v>3 - Stretch</x:v>
      </x:c>
      <x:c r="C122" s="51" t="str">
        <x:v>P2</x:v>
      </x:c>
      <x:c r="D122" s="34" t="str">
        <x:v>Bit, Math &amp; Combinatorics</x:v>
      </x:c>
      <x:c r="E122" s="34" t="str">
        <x:v>Factorial number system</x:v>
      </x:c>
      <x:c r="F122" s="51" t="n">
        <x:v>60</x:v>
      </x:c>
      <x:c r="G122" s="52" t="str">
        <x:v>Permutation Sequence</x:v>
      </x:c>
      <x:c r="H122" s="52" t="str">
        <x:v>Hard</x:v>
      </x:c>
      <x:c r="I122" s="52" t="n">
        <x:v>42</x:v>
      </x:c>
      <x:c r="J122" s="34" t="str">
        <x:v>Each position selects a block of (remaining-1)! permutations</x:v>
      </x:c>
      <x:c r="K122" s="34" t="str">
        <x:v>Adds compact-state and arithmetic problems that break template-only prep.</x:v>
      </x:c>
      <x:c r="L122" s="34" t="str">
        <x:v>Directional company-pattern signal: Microsoft, Google, Adobe, Goldman Sachs</x:v>
      </x:c>
      <x:c r="M122" s="49" t="str">
        <x:v>https://leetcode.com/problems/permutation-sequence/</x:v>
      </x:c>
      <x:c r="N122" s="51" t="str">
        <x:v>Not started</x:v>
      </x:c>
      <x:c r="O122" s="51" t="n">
        <x:v>0</x:v>
      </x:c>
      <x:c r="P122" s="51"/>
      <x:c r="Q122" s="53"/>
      <x:c r="R122" s="51"/>
      <x:c r="S122" s="34" t="str"/>
      <x:c r="T122" s="53" t="str">
        <x:f>IF(OR(Q122="",R122=""),"",Q122+IF(R122=1,1,IF(R122=2,3,IF(R122=3,7,IF(R122=4,14,30)))))</x:f>
      </x:c>
    </x:row>
    <x:row r="123" ht="46" customHeight="1">
      <x:c r="A123" s="51" t="n">
        <x:v>119</x:v>
      </x:c>
      <x:c r="B123" s="51" t="str">
        <x:v>2 - Depth</x:v>
      </x:c>
      <x:c r="C123" s="51" t="str">
        <x:v>P1</x:v>
      </x:c>
      <x:c r="D123" s="34" t="str">
        <x:v>Bit, Math &amp; Combinatorics</x:v>
      </x:c>
      <x:c r="E123" s="34" t="str">
        <x:v>Manual arithmetic</x:v>
      </x:c>
      <x:c r="F123" s="51" t="n">
        <x:v>43</x:v>
      </x:c>
      <x:c r="G123" s="52" t="str">
        <x:v>Multiply Strings</x:v>
      </x:c>
      <x:c r="H123" s="52" t="str">
        <x:v>Medium</x:v>
      </x:c>
      <x:c r="I123" s="52" t="n">
        <x:v>27</x:v>
      </x:c>
      <x:c r="J123" s="34" t="str">
        <x:v>Accumulate digit products at positional indices with carries</x:v>
      </x:c>
      <x:c r="K123" s="34" t="str">
        <x:v>Adds compact-state and arithmetic problems that break template-only prep.</x:v>
      </x:c>
      <x:c r="L123" s="34" t="str">
        <x:v>Directional company-pattern signal: Microsoft, Google, Adobe, Goldman Sachs</x:v>
      </x:c>
      <x:c r="M123" s="49" t="str">
        <x:v>https://leetcode.com/problems/multiply-strings/</x:v>
      </x:c>
      <x:c r="N123" s="51" t="str">
        <x:v>Not started</x:v>
      </x:c>
      <x:c r="O123" s="51" t="n">
        <x:v>0</x:v>
      </x:c>
      <x:c r="P123" s="51"/>
      <x:c r="Q123" s="53"/>
      <x:c r="R123" s="51"/>
      <x:c r="S123" s="34" t="str"/>
      <x:c r="T123" s="53" t="str">
        <x:f>IF(OR(Q123="",R123=""),"",Q123+IF(R123=1,1,IF(R123=2,3,IF(R123=3,7,IF(R123=4,14,30)))))</x:f>
      </x:c>
    </x:row>
    <x:row r="124" ht="46" customHeight="1">
      <x:c r="A124" s="51" t="n">
        <x:v>120</x:v>
      </x:c>
      <x:c r="B124" s="51" t="str">
        <x:v>3 - Stretch</x:v>
      </x:c>
      <x:c r="C124" s="51" t="str">
        <x:v>P2</x:v>
      </x:c>
      <x:c r="D124" s="34" t="str">
        <x:v>Bit, Math &amp; Combinatorics</x:v>
      </x:c>
      <x:c r="E124" s="34" t="str">
        <x:v>Normalized slope hashing</x:v>
      </x:c>
      <x:c r="F124" s="51" t="n">
        <x:v>149</x:v>
      </x:c>
      <x:c r="G124" s="52" t="str">
        <x:v>Max Points on a Line</x:v>
      </x:c>
      <x:c r="H124" s="52" t="str">
        <x:v>Hard</x:v>
      </x:c>
      <x:c r="I124" s="52" t="n">
        <x:v>42</x:v>
      </x:c>
      <x:c r="J124" s="34" t="str">
        <x:v>Represent each slope by a reduced integer pair</x:v>
      </x:c>
      <x:c r="K124" s="34" t="str">
        <x:v>Adds compact-state and arithmetic problems that break template-only prep.</x:v>
      </x:c>
      <x:c r="L124" s="34" t="str">
        <x:v>Directional company-pattern signal: Microsoft, Google, Adobe, Goldman Sachs</x:v>
      </x:c>
      <x:c r="M124" s="49" t="str">
        <x:v>https://leetcode.com/problems/max-points-on-a-line/</x:v>
      </x:c>
      <x:c r="N124" s="51" t="str">
        <x:v>Not started</x:v>
      </x:c>
      <x:c r="O124" s="51" t="n">
        <x:v>0</x:v>
      </x:c>
      <x:c r="P124" s="51"/>
      <x:c r="Q124" s="53"/>
      <x:c r="R124" s="51"/>
      <x:c r="S124" s="34" t="str"/>
      <x:c r="T124" s="53" t="str">
        <x:f>IF(OR(Q124="",R124=""),"",Q124+IF(R124=1,1,IF(R124=2,3,IF(R124=3,7,IF(R124=4,14,30)))))</x:f>
      </x:c>
    </x:row>
  </x:sheetData>
  <x:conditionalFormatting sqref="N5:N124">
    <x:cfRule type="containsText" dxfId="0" priority="1" operator="containsText" text="Solved"/>
    <x:cfRule type="containsText" dxfId="1" priority="2" operator="containsText" text="Review"/>
  </x:conditionalFormatting>
  <x:conditionalFormatting sqref="H5:H124">
    <x:cfRule type="containsText" dxfId="2" priority="3" operator="containsText" text="Hard"/>
  </x:conditionalFormatting>
  <x:conditionalFormatting sqref="P5:P124">
    <x:cfRule type="cellIs" dxfId="3" priority="4" operator="greaterThan">
      <x:formula>42</x:formula>
    </x:cfRule>
  </x:conditionalFormatting>
  <x:dataValidations count="4">
    <x:dataValidation type="list" sqref="N5:N124">
      <x:formula1>"Not started,Attempted,Review,Solved"</x:formula1>
    </x:dataValidation>
    <x:dataValidation type="whole" operator="between" sqref="O5:O124">
      <x:formula1>0</x:formula1>
      <x:formula2>50</x:formula2>
    </x:dataValidation>
    <x:dataValidation type="whole" operator="between" sqref="P5:P124">
      <x:formula1>0</x:formula1>
      <x:formula2>180</x:formula2>
    </x:dataValidation>
    <x:dataValidation type="whole" operator="between" sqref="R5:R124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57c7c173d1e426b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42" hidden="0" customWidth="1"/>
    <x:col min="7" max="7" width="13" hidden="0" customWidth="1"/>
    <x:col min="8" max="8" width="11" hidden="0" customWidth="1"/>
    <x:col min="9" max="9" width="11" hidden="0" customWidth="1"/>
    <x:col min="10" max="10" width="48" hidden="0" customWidth="1"/>
  </x:cols>
  <x:sheetData>
    <x:row r="2">
      <x:c r="A2" s="2" t="str">
        <x:v>Twelve 75-minute OA simulations</x:v>
      </x:c>
    </x:row>
    <x:row r="4">
      <x:c r="A4" s="25" t="str">
        <x:v>Mock</x:v>
      </x:c>
      <x:c r="B4" s="26" t="str">
        <x:v>Q1</x:v>
      </x:c>
      <x:c r="C4" s="26" t="str">
        <x:v>Q2</x:v>
      </x:c>
      <x:c r="D4" s="26" t="str">
        <x:v>Q3</x:v>
      </x:c>
      <x:c r="E4" s="26" t="str">
        <x:v>Q4</x:v>
      </x:c>
      <x:c r="F4" s="26" t="str">
        <x:v>Primary mix</x:v>
      </x:c>
      <x:c r="G4" s="26" t="str">
        <x:v>Date</x:v>
      </x:c>
      <x:c r="H4" s="26" t="str">
        <x:v>Score / 4</x:v>
      </x:c>
      <x:c r="I4" s="26" t="str">
        <x:v>Time min</x:v>
      </x:c>
      <x:c r="J4" s="27" t="str">
        <x:v>Post-mock diagnosis</x:v>
      </x:c>
    </x:row>
    <x:row r="5" ht="42" customHeight="1">
      <x:c r="A5" s="55" t="n">
        <x:v>1</x:v>
      </x:c>
      <x:c r="B5" s="34" t="str">
        <x:v>Group Anagrams</x:v>
      </x:c>
      <x:c r="C5" s="34" t="str">
        <x:v>Koko Eating Bananas</x:v>
      </x:c>
      <x:c r="D5" s="34" t="str">
        <x:v>Number of Islands</x:v>
      </x:c>
      <x:c r="E5" s="34" t="str">
        <x:v>Coin Change</x:v>
      </x:c>
      <x:c r="F5" s="34" t="str">
        <x:v>Hashing + answer search + graph + DP</x:v>
      </x:c>
      <x:c r="G5" s="54"/>
      <x:c r="H5" s="34"/>
      <x:c r="I5" s="34"/>
      <x:c r="J5" s="56" t="str"/>
    </x:row>
    <x:row r="6" ht="42" customHeight="1">
      <x:c r="A6" s="55" t="n">
        <x:v>2</x:v>
      </x:c>
      <x:c r="B6" s="34" t="str">
        <x:v>Product of Array Except Self</x:v>
      </x:c>
      <x:c r="C6" s="34" t="str">
        <x:v>Longest Substring Without Repeating Characters</x:v>
      </x:c>
      <x:c r="D6" s="34" t="str">
        <x:v>Course Schedule</x:v>
      </x:c>
      <x:c r="E6" s="34" t="str">
        <x:v>Longest Common Subsequence</x:v>
      </x:c>
      <x:c r="F6" s="34" t="str">
        <x:v>Array + window + topo + DP</x:v>
      </x:c>
      <x:c r="G6" s="54"/>
      <x:c r="H6" s="34"/>
      <x:c r="I6" s="34"/>
      <x:c r="J6" s="56" t="str"/>
    </x:row>
    <x:row r="7" ht="42" customHeight="1">
      <x:c r="A7" s="55" t="n">
        <x:v>3</x:v>
      </x:c>
      <x:c r="B7" s="34" t="str">
        <x:v>3Sum</x:v>
      </x:c>
      <x:c r="C7" s="34" t="str">
        <x:v>Merge Intervals</x:v>
      </x:c>
      <x:c r="D7" s="34" t="str">
        <x:v>Rotting Oranges</x:v>
      </x:c>
      <x:c r="E7" s="34" t="str">
        <x:v>Edit Distance</x:v>
      </x:c>
      <x:c r="F7" s="34" t="str">
        <x:v>Pointers + intervals + BFS + DP</x:v>
      </x:c>
      <x:c r="G7" s="54"/>
      <x:c r="H7" s="34"/>
      <x:c r="I7" s="34"/>
      <x:c r="J7" s="56" t="str"/>
    </x:row>
    <x:row r="8" ht="42" customHeight="1">
      <x:c r="A8" s="55" t="n">
        <x:v>4</x:v>
      </x:c>
      <x:c r="B8" s="34" t="str">
        <x:v>Search in Rotated Sorted Array</x:v>
      </x:c>
      <x:c r="C8" s="34" t="str">
        <x:v>Daily Temperatures</x:v>
      </x:c>
      <x:c r="D8" s="34" t="str">
        <x:v>Lowest Common Ancestor of a Binary Tree</x:v>
      </x:c>
      <x:c r="E8" s="34" t="str">
        <x:v>Word Break</x:v>
      </x:c>
      <x:c r="F8" s="34" t="str">
        <x:v>Binary search + stack + tree + DP</x:v>
      </x:c>
      <x:c r="G8" s="54"/>
      <x:c r="H8" s="34"/>
      <x:c r="I8" s="34"/>
      <x:c r="J8" s="56" t="str"/>
    </x:row>
    <x:row r="9" ht="42" customHeight="1">
      <x:c r="A9" s="55" t="n">
        <x:v>5</x:v>
      </x:c>
      <x:c r="B9" s="34" t="str">
        <x:v>Subarray Sum Equals K</x:v>
      </x:c>
      <x:c r="C9" s="34" t="str">
        <x:v>Kth Largest Element in an Array</x:v>
      </x:c>
      <x:c r="D9" s="34" t="str">
        <x:v>Word Search</x:v>
      </x:c>
      <x:c r="E9" s="34" t="str">
        <x:v>Network Delay Time</x:v>
      </x:c>
      <x:c r="F9" s="34" t="str">
        <x:v>Prefix + heap + backtracking + Dijkstra</x:v>
      </x:c>
      <x:c r="G9" s="54"/>
      <x:c r="H9" s="34"/>
      <x:c r="I9" s="34"/>
      <x:c r="J9" s="56" t="str"/>
    </x:row>
    <x:row r="10" ht="42" customHeight="1">
      <x:c r="A10" s="55" t="n">
        <x:v>6</x:v>
      </x:c>
      <x:c r="B10" s="34" t="str">
        <x:v>Container With Most Water</x:v>
      </x:c>
      <x:c r="C10" s="34" t="str">
        <x:v>Insert Interval</x:v>
      </x:c>
      <x:c r="D10" s="34" t="str">
        <x:v>Binary Tree Maximum Path Sum</x:v>
      </x:c>
      <x:c r="E10" s="34" t="str">
        <x:v>Partition Equal Subset Sum</x:v>
      </x:c>
      <x:c r="F10" s="34" t="str">
        <x:v>Pointers + intervals + tree DP + knapsack</x:v>
      </x:c>
      <x:c r="G10" s="54"/>
      <x:c r="H10" s="34"/>
      <x:c r="I10" s="34"/>
      <x:c r="J10" s="56" t="str"/>
    </x:row>
    <x:row r="11" ht="42" customHeight="1">
      <x:c r="A11" s="55" t="n">
        <x:v>7</x:v>
      </x:c>
      <x:c r="B11" s="34" t="str">
        <x:v>Fruit Into Baskets</x:v>
      </x:c>
      <x:c r="C11" s="34" t="str">
        <x:v>Reorganize String</x:v>
      </x:c>
      <x:c r="D11" s="34" t="str">
        <x:v>Accounts Merge</x:v>
      </x:c>
      <x:c r="E11" s="34" t="str">
        <x:v>Target Sum</x:v>
      </x:c>
      <x:c r="F11" s="34" t="str">
        <x:v>Window + greedy + DSU + DP</x:v>
      </x:c>
      <x:c r="G11" s="54"/>
      <x:c r="H11" s="34"/>
      <x:c r="I11" s="34"/>
      <x:c r="J11" s="56" t="str"/>
    </x:row>
    <x:row r="12" ht="42" customHeight="1">
      <x:c r="A12" s="55" t="n">
        <x:v>8</x:v>
      </x:c>
      <x:c r="B12" s="34" t="str">
        <x:v>Search a 2D Matrix</x:v>
      </x:c>
      <x:c r="C12" s="34" t="str">
        <x:v>Asteroid Collision</x:v>
      </x:c>
      <x:c r="D12" s="34" t="str">
        <x:v>Cheapest Flights Within K Stops</x:v>
      </x:c>
      <x:c r="E12" s="34" t="str">
        <x:v>Decode Ways</x:v>
      </x:c>
      <x:c r="F12" s="34" t="str">
        <x:v>Binary search + simulation + graph + DP</x:v>
      </x:c>
      <x:c r="G12" s="54"/>
      <x:c r="H12" s="34"/>
      <x:c r="I12" s="34"/>
      <x:c r="J12" s="56" t="str"/>
    </x:row>
    <x:row r="13" ht="42" customHeight="1">
      <x:c r="A13" s="55" t="n">
        <x:v>9</x:v>
      </x:c>
      <x:c r="B13" s="34" t="str">
        <x:v>Set Matrix Zeroes</x:v>
      </x:c>
      <x:c r="C13" s="34" t="str">
        <x:v>Furthest Building You Can Reach</x:v>
      </x:c>
      <x:c r="D13" s="34" t="str">
        <x:v>Pacific Atlantic Water Flow</x:v>
      </x:c>
      <x:c r="E13" s="34" t="str">
        <x:v>Longest Increasing Subsequence</x:v>
      </x:c>
      <x:c r="F13" s="34" t="str">
        <x:v>Matrix + heap + graph + DP</x:v>
      </x:c>
      <x:c r="G13" s="54"/>
      <x:c r="H13" s="34"/>
      <x:c r="I13" s="34"/>
      <x:c r="J13" s="56" t="str"/>
    </x:row>
    <x:row r="14" ht="42" customHeight="1">
      <x:c r="A14" s="55" t="n">
        <x:v>10</x:v>
      </x:c>
      <x:c r="B14" s="34" t="str">
        <x:v>Next Permutation</x:v>
      </x:c>
      <x:c r="C14" s="34" t="str">
        <x:v>LRU Cache</x:v>
      </x:c>
      <x:c r="D14" s="34" t="str">
        <x:v>Construct Binary Tree from Preorder and Inorder Traversal</x:v>
      </x:c>
      <x:c r="E14" s="34" t="str">
        <x:v>Maximum Profit in Job Scheduling</x:v>
      </x:c>
      <x:c r="F14" s="34" t="str">
        <x:v>Pointers + design + tree + scheduling DP</x:v>
      </x:c>
      <x:c r="G14" s="54"/>
      <x:c r="H14" s="34"/>
      <x:c r="I14" s="34"/>
      <x:c r="J14" s="56" t="str"/>
    </x:row>
    <x:row r="15" ht="42" customHeight="1">
      <x:c r="A15" s="55" t="n">
        <x:v>11</x:v>
      </x:c>
      <x:c r="B15" s="34" t="str">
        <x:v>Permutation in String</x:v>
      </x:c>
      <x:c r="C15" s="34" t="str">
        <x:v>Task Scheduler</x:v>
      </x:c>
      <x:c r="D15" s="34" t="str">
        <x:v>Evaluate Division</x:v>
      </x:c>
      <x:c r="E15" s="34" t="str">
        <x:v>Distinct Subsequences</x:v>
      </x:c>
      <x:c r="F15" s="34" t="str">
        <x:v>Window + greedy + graph + hard DP</x:v>
      </x:c>
      <x:c r="G15" s="54"/>
      <x:c r="H15" s="34"/>
      <x:c r="I15" s="34"/>
      <x:c r="J15" s="56" t="str"/>
    </x:row>
    <x:row r="16" ht="42" customHeight="1">
      <x:c r="A16" s="57" t="n">
        <x:v>12</x:v>
      </x:c>
      <x:c r="B16" s="58" t="str">
        <x:v>Find Peak Element</x:v>
      </x:c>
      <x:c r="C16" s="58" t="str">
        <x:v>Merge k Sorted Lists</x:v>
      </x:c>
      <x:c r="D16" s="58" t="str">
        <x:v>Shortest Path in Binary Matrix</x:v>
      </x:c>
      <x:c r="E16" s="58" t="str">
        <x:v>Burst Balloons</x:v>
      </x:c>
      <x:c r="F16" s="58" t="str">
        <x:v>Search + heap + BFS + interval DP</x:v>
      </x:c>
      <x:c r="G16" s="59"/>
      <x:c r="H16" s="58"/>
      <x:c r="I16" s="58"/>
      <x:c r="J16" s="60" t="str"/>
    </x:row>
    <x:row r="19">
      <x:c r="A19" s="20" t="str">
        <x:v>Scoring rule</x:v>
      </x:c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2" t="str"/>
    </x:row>
    <x:row r="20">
      <x:c r="A20" s="33" t="str">
        <x:v>4/4</x:v>
      </x:c>
      <x:c r="B20" s="33" t="str">
        <x:v>All accepted within 75 minutes. Review only implementation mistakes.</x:v>
      </x:c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</x:row>
    <x:row r="21">
      <x:c r="A21" s="33" t="str">
        <x:v>3/4</x:v>
      </x:c>
      <x:c r="B21" s="33" t="str">
        <x:v>Good OA readiness. Upsolve the failed problem the same day.</x:v>
      </x:c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</x:row>
    <x:row r="22">
      <x:c r="A22" s="33" t="str">
        <x:v>2/4</x:v>
      </x:c>
      <x:c r="B22" s="33" t="str">
        <x:v>Identify whether the loss was recognition, implementation, or time allocation.</x:v>
      </x:c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</x:row>
    <x:row r="23">
      <x:c r="A23" s="33" t="str">
        <x:v>0-1/4</x:v>
      </x:c>
      <x:c r="B23" s="33" t="str">
        <x:v>Pause random new problems. Rebuild the two weakest patterns first.</x:v>
      </x:c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</x:row>
  </x:sheetData>
  <x:dataValidations count="2">
    <x:dataValidation type="whole" operator="between" sqref="H5:H16">
      <x:formula1>0</x:formula1>
      <x:formula2>4</x:formula2>
    </x:dataValidation>
    <x:dataValidation type="whole" operator="between" sqref="I5:I16">
      <x:formula1>0</x:formula1>
      <x:formula2>180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0" hidden="0" customWidth="1"/>
    <x:col min="4" max="4" width="9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5" hidden="0" customWidth="1"/>
    <x:col min="11" max="11" width="30" hidden="0" customWidth="1"/>
    <x:col min="12" max="12" width="13" hidden="0" customWidth="1"/>
    <x:col min="13" max="13" width="14" hidden="0" customWidth="1"/>
  </x:cols>
  <x:sheetData>
    <x:row r="2">
      <x:c r="A2" s="2" t="str">
        <x:v>LeetCode contest and upsolve log</x:v>
      </x:c>
    </x:row>
    <x:row r="4">
      <x:c r="A4" s="20" t="str">
        <x:v>Date</x:v>
      </x:c>
      <x:c r="B4" s="21" t="str">
        <x:v>Contest</x:v>
      </x:c>
      <x:c r="C4" s="21" t="str">
        <x:v>Rank</x:v>
      </x:c>
      <x:c r="D4" s="21" t="str">
        <x:v>Solved</x:v>
      </x:c>
      <x:c r="E4" s="21" t="str">
        <x:v>Penalty / wrong submissions</x:v>
      </x:c>
      <x:c r="F4" s="21" t="str">
        <x:v>Q1 result</x:v>
      </x:c>
      <x:c r="G4" s="21" t="str">
        <x:v>Q2 result</x:v>
      </x:c>
      <x:c r="H4" s="21" t="str">
        <x:v>Q3 result</x:v>
      </x:c>
      <x:c r="I4" s="21" t="str">
        <x:v>Q4 result</x:v>
      </x:c>
      <x:c r="J4" s="21" t="str">
        <x:v>Main failure mode</x:v>
      </x:c>
      <x:c r="K4" s="21" t="str">
        <x:v>Pattern to revise</x:v>
      </x:c>
      <x:c r="L4" s="21" t="str">
        <x:v>Upsolved by</x:v>
      </x:c>
      <x:c r="M4" s="22" t="str">
        <x:v>48h complete?</x:v>
      </x:c>
    </x:row>
    <x:row r="5" ht="28" customHeight="1">
      <x:c r="A5" s="50"/>
      <x:c r="B5" s="49" t="str"/>
      <x:c r="C5" s="49"/>
      <x:c r="D5" s="49"/>
      <x:c r="E5" s="49"/>
      <x:c r="F5" s="49" t="str"/>
      <x:c r="G5" s="49" t="str"/>
      <x:c r="H5" s="49" t="str"/>
      <x:c r="I5" s="49" t="str"/>
      <x:c r="J5" s="49" t="str"/>
      <x:c r="K5" s="49" t="str"/>
      <x:c r="L5" s="50"/>
      <x:c r="M5" s="49" t="str"/>
    </x:row>
    <x:row r="6" ht="28" customHeight="1">
      <x:c r="A6" s="50"/>
      <x:c r="B6" s="49" t="str"/>
      <x:c r="C6" s="49"/>
      <x:c r="D6" s="49"/>
      <x:c r="E6" s="49"/>
      <x:c r="F6" s="49" t="str"/>
      <x:c r="G6" s="49" t="str"/>
      <x:c r="H6" s="49" t="str"/>
      <x:c r="I6" s="49" t="str"/>
      <x:c r="J6" s="49" t="str"/>
      <x:c r="K6" s="49" t="str"/>
      <x:c r="L6" s="50"/>
      <x:c r="M6" s="49" t="str"/>
    </x:row>
    <x:row r="7" ht="28" customHeight="1">
      <x:c r="A7" s="50"/>
      <x:c r="B7" s="49" t="str"/>
      <x:c r="C7" s="49"/>
      <x:c r="D7" s="49"/>
      <x:c r="E7" s="49"/>
      <x:c r="F7" s="49" t="str"/>
      <x:c r="G7" s="49" t="str"/>
      <x:c r="H7" s="49" t="str"/>
      <x:c r="I7" s="49" t="str"/>
      <x:c r="J7" s="49" t="str"/>
      <x:c r="K7" s="49" t="str"/>
      <x:c r="L7" s="50"/>
      <x:c r="M7" s="49" t="str"/>
    </x:row>
    <x:row r="8" ht="28" customHeight="1">
      <x:c r="A8" s="50"/>
      <x:c r="B8" s="49" t="str"/>
      <x:c r="C8" s="49"/>
      <x:c r="D8" s="49"/>
      <x:c r="E8" s="49"/>
      <x:c r="F8" s="49" t="str"/>
      <x:c r="G8" s="49" t="str"/>
      <x:c r="H8" s="49" t="str"/>
      <x:c r="I8" s="49" t="str"/>
      <x:c r="J8" s="49" t="str"/>
      <x:c r="K8" s="49" t="str"/>
      <x:c r="L8" s="50"/>
      <x:c r="M8" s="49" t="str"/>
    </x:row>
    <x:row r="9" ht="28" customHeight="1">
      <x:c r="A9" s="50"/>
      <x:c r="B9" s="49" t="str"/>
      <x:c r="C9" s="49"/>
      <x:c r="D9" s="49"/>
      <x:c r="E9" s="49"/>
      <x:c r="F9" s="49" t="str"/>
      <x:c r="G9" s="49" t="str"/>
      <x:c r="H9" s="49" t="str"/>
      <x:c r="I9" s="49" t="str"/>
      <x:c r="J9" s="49" t="str"/>
      <x:c r="K9" s="49" t="str"/>
      <x:c r="L9" s="50"/>
      <x:c r="M9" s="49" t="str"/>
    </x:row>
    <x:row r="10" ht="28" customHeight="1">
      <x:c r="A10" s="50"/>
      <x:c r="B10" s="49" t="str"/>
      <x:c r="C10" s="49"/>
      <x:c r="D10" s="49"/>
      <x:c r="E10" s="49"/>
      <x:c r="F10" s="49" t="str"/>
      <x:c r="G10" s="49" t="str"/>
      <x:c r="H10" s="49" t="str"/>
      <x:c r="I10" s="49" t="str"/>
      <x:c r="J10" s="49" t="str"/>
      <x:c r="K10" s="49" t="str"/>
      <x:c r="L10" s="50"/>
      <x:c r="M10" s="49" t="str"/>
    </x:row>
    <x:row r="11" ht="28" customHeight="1">
      <x:c r="A11" s="50"/>
      <x:c r="B11" s="49" t="str"/>
      <x:c r="C11" s="49"/>
      <x:c r="D11" s="49"/>
      <x:c r="E11" s="49"/>
      <x:c r="F11" s="49" t="str"/>
      <x:c r="G11" s="49" t="str"/>
      <x:c r="H11" s="49" t="str"/>
      <x:c r="I11" s="49" t="str"/>
      <x:c r="J11" s="49" t="str"/>
      <x:c r="K11" s="49" t="str"/>
      <x:c r="L11" s="50"/>
      <x:c r="M11" s="49" t="str"/>
    </x:row>
    <x:row r="12" ht="28" customHeight="1">
      <x:c r="A12" s="50"/>
      <x:c r="B12" s="49" t="str"/>
      <x:c r="C12" s="49"/>
      <x:c r="D12" s="49"/>
      <x:c r="E12" s="49"/>
      <x:c r="F12" s="49" t="str"/>
      <x:c r="G12" s="49" t="str"/>
      <x:c r="H12" s="49" t="str"/>
      <x:c r="I12" s="49" t="str"/>
      <x:c r="J12" s="49" t="str"/>
      <x:c r="K12" s="49" t="str"/>
      <x:c r="L12" s="50"/>
      <x:c r="M12" s="49" t="str"/>
    </x:row>
    <x:row r="13" ht="28" customHeight="1">
      <x:c r="A13" s="50"/>
      <x:c r="B13" s="49" t="str"/>
      <x:c r="C13" s="49"/>
      <x:c r="D13" s="49"/>
      <x:c r="E13" s="49"/>
      <x:c r="F13" s="49" t="str"/>
      <x:c r="G13" s="49" t="str"/>
      <x:c r="H13" s="49" t="str"/>
      <x:c r="I13" s="49" t="str"/>
      <x:c r="J13" s="49" t="str"/>
      <x:c r="K13" s="49" t="str"/>
      <x:c r="L13" s="50"/>
      <x:c r="M13" s="49" t="str"/>
    </x:row>
    <x:row r="14" ht="28" customHeight="1">
      <x:c r="A14" s="50"/>
      <x:c r="B14" s="49" t="str"/>
      <x:c r="C14" s="49"/>
      <x:c r="D14" s="49"/>
      <x:c r="E14" s="49"/>
      <x:c r="F14" s="49" t="str"/>
      <x:c r="G14" s="49" t="str"/>
      <x:c r="H14" s="49" t="str"/>
      <x:c r="I14" s="49" t="str"/>
      <x:c r="J14" s="49" t="str"/>
      <x:c r="K14" s="49" t="str"/>
      <x:c r="L14" s="50"/>
      <x:c r="M14" s="49" t="str"/>
    </x:row>
    <x:row r="15" ht="28" customHeight="1">
      <x:c r="A15" s="50"/>
      <x:c r="B15" s="49" t="str"/>
      <x:c r="C15" s="49"/>
      <x:c r="D15" s="49"/>
      <x:c r="E15" s="49"/>
      <x:c r="F15" s="49" t="str"/>
      <x:c r="G15" s="49" t="str"/>
      <x:c r="H15" s="49" t="str"/>
      <x:c r="I15" s="49" t="str"/>
      <x:c r="J15" s="49" t="str"/>
      <x:c r="K15" s="49" t="str"/>
      <x:c r="L15" s="50"/>
      <x:c r="M15" s="49" t="str"/>
    </x:row>
    <x:row r="16" ht="28" customHeight="1">
      <x:c r="A16" s="50"/>
      <x:c r="B16" s="49" t="str"/>
      <x:c r="C16" s="49"/>
      <x:c r="D16" s="49"/>
      <x:c r="E16" s="49"/>
      <x:c r="F16" s="49" t="str"/>
      <x:c r="G16" s="49" t="str"/>
      <x:c r="H16" s="49" t="str"/>
      <x:c r="I16" s="49" t="str"/>
      <x:c r="J16" s="49" t="str"/>
      <x:c r="K16" s="49" t="str"/>
      <x:c r="L16" s="50"/>
      <x:c r="M16" s="49" t="str"/>
    </x:row>
    <x:row r="17" ht="28" customHeight="1">
      <x:c r="A17" s="50"/>
      <x:c r="B17" s="49" t="str"/>
      <x:c r="C17" s="49"/>
      <x:c r="D17" s="49"/>
      <x:c r="E17" s="49"/>
      <x:c r="F17" s="49" t="str"/>
      <x:c r="G17" s="49" t="str"/>
      <x:c r="H17" s="49" t="str"/>
      <x:c r="I17" s="49" t="str"/>
      <x:c r="J17" s="49" t="str"/>
      <x:c r="K17" s="49" t="str"/>
      <x:c r="L17" s="50"/>
      <x:c r="M17" s="49" t="str"/>
    </x:row>
    <x:row r="18" ht="28" customHeight="1">
      <x:c r="A18" s="50"/>
      <x:c r="B18" s="49" t="str"/>
      <x:c r="C18" s="49"/>
      <x:c r="D18" s="49"/>
      <x:c r="E18" s="49"/>
      <x:c r="F18" s="49" t="str"/>
      <x:c r="G18" s="49" t="str"/>
      <x:c r="H18" s="49" t="str"/>
      <x:c r="I18" s="49" t="str"/>
      <x:c r="J18" s="49" t="str"/>
      <x:c r="K18" s="49" t="str"/>
      <x:c r="L18" s="50"/>
      <x:c r="M18" s="49" t="str"/>
    </x:row>
    <x:row r="19" ht="28" customHeight="1">
      <x:c r="A19" s="50"/>
      <x:c r="B19" s="49" t="str"/>
      <x:c r="C19" s="49"/>
      <x:c r="D19" s="49"/>
      <x:c r="E19" s="49"/>
      <x:c r="F19" s="49" t="str"/>
      <x:c r="G19" s="49" t="str"/>
      <x:c r="H19" s="49" t="str"/>
      <x:c r="I19" s="49" t="str"/>
      <x:c r="J19" s="49" t="str"/>
      <x:c r="K19" s="49" t="str"/>
      <x:c r="L19" s="50"/>
      <x:c r="M19" s="49" t="str"/>
    </x:row>
    <x:row r="20" ht="28" customHeight="1">
      <x:c r="A20" s="50"/>
      <x:c r="B20" s="49" t="str"/>
      <x:c r="C20" s="49"/>
      <x:c r="D20" s="49"/>
      <x:c r="E20" s="49"/>
      <x:c r="F20" s="49" t="str"/>
      <x:c r="G20" s="49" t="str"/>
      <x:c r="H20" s="49" t="str"/>
      <x:c r="I20" s="49" t="str"/>
      <x:c r="J20" s="49" t="str"/>
      <x:c r="K20" s="49" t="str"/>
      <x:c r="L20" s="50"/>
      <x:c r="M20" s="49" t="str"/>
    </x:row>
    <x:row r="21" ht="28" customHeight="1">
      <x:c r="A21" s="50"/>
      <x:c r="B21" s="49" t="str"/>
      <x:c r="C21" s="49"/>
      <x:c r="D21" s="49"/>
      <x:c r="E21" s="49"/>
      <x:c r="F21" s="49" t="str"/>
      <x:c r="G21" s="49" t="str"/>
      <x:c r="H21" s="49" t="str"/>
      <x:c r="I21" s="49" t="str"/>
      <x:c r="J21" s="49" t="str"/>
      <x:c r="K21" s="49" t="str"/>
      <x:c r="L21" s="50"/>
      <x:c r="M21" s="49" t="str"/>
    </x:row>
    <x:row r="22" ht="28" customHeight="1">
      <x:c r="A22" s="50"/>
      <x:c r="B22" s="49" t="str"/>
      <x:c r="C22" s="49"/>
      <x:c r="D22" s="49"/>
      <x:c r="E22" s="49"/>
      <x:c r="F22" s="49" t="str"/>
      <x:c r="G22" s="49" t="str"/>
      <x:c r="H22" s="49" t="str"/>
      <x:c r="I22" s="49" t="str"/>
      <x:c r="J22" s="49" t="str"/>
      <x:c r="K22" s="49" t="str"/>
      <x:c r="L22" s="50"/>
      <x:c r="M22" s="49" t="str"/>
    </x:row>
    <x:row r="23" ht="28" customHeight="1">
      <x:c r="A23" s="50"/>
      <x:c r="B23" s="49" t="str"/>
      <x:c r="C23" s="49"/>
      <x:c r="D23" s="49"/>
      <x:c r="E23" s="49"/>
      <x:c r="F23" s="49" t="str"/>
      <x:c r="G23" s="49" t="str"/>
      <x:c r="H23" s="49" t="str"/>
      <x:c r="I23" s="49" t="str"/>
      <x:c r="J23" s="49" t="str"/>
      <x:c r="K23" s="49" t="str"/>
      <x:c r="L23" s="50"/>
      <x:c r="M23" s="49" t="str"/>
    </x:row>
    <x:row r="24" ht="28" customHeight="1">
      <x:c r="A24" s="50"/>
      <x:c r="B24" s="49" t="str"/>
      <x:c r="C24" s="49"/>
      <x:c r="D24" s="49"/>
      <x:c r="E24" s="49"/>
      <x:c r="F24" s="49" t="str"/>
      <x:c r="G24" s="49" t="str"/>
      <x:c r="H24" s="49" t="str"/>
      <x:c r="I24" s="49" t="str"/>
      <x:c r="J24" s="49" t="str"/>
      <x:c r="K24" s="49" t="str"/>
      <x:c r="L24" s="50"/>
      <x:c r="M24" s="49" t="str"/>
    </x:row>
    <x:row r="25" ht="28" customHeight="1">
      <x:c r="A25" s="50"/>
      <x:c r="B25" s="49" t="str"/>
      <x:c r="C25" s="49"/>
      <x:c r="D25" s="49"/>
      <x:c r="E25" s="49"/>
      <x:c r="F25" s="49" t="str"/>
      <x:c r="G25" s="49" t="str"/>
      <x:c r="H25" s="49" t="str"/>
      <x:c r="I25" s="49" t="str"/>
      <x:c r="J25" s="49" t="str"/>
      <x:c r="K25" s="49" t="str"/>
      <x:c r="L25" s="50"/>
      <x:c r="M25" s="49" t="str"/>
    </x:row>
    <x:row r="26" ht="28" customHeight="1">
      <x:c r="A26" s="50"/>
      <x:c r="B26" s="49" t="str"/>
      <x:c r="C26" s="49"/>
      <x:c r="D26" s="49"/>
      <x:c r="E26" s="49"/>
      <x:c r="F26" s="49" t="str"/>
      <x:c r="G26" s="49" t="str"/>
      <x:c r="H26" s="49" t="str"/>
      <x:c r="I26" s="49" t="str"/>
      <x:c r="J26" s="49" t="str"/>
      <x:c r="K26" s="49" t="str"/>
      <x:c r="L26" s="50"/>
      <x:c r="M26" s="49" t="str"/>
    </x:row>
    <x:row r="27" ht="28" customHeight="1">
      <x:c r="A27" s="50"/>
      <x:c r="B27" s="49" t="str"/>
      <x:c r="C27" s="49"/>
      <x:c r="D27" s="49"/>
      <x:c r="E27" s="49"/>
      <x:c r="F27" s="49" t="str"/>
      <x:c r="G27" s="49" t="str"/>
      <x:c r="H27" s="49" t="str"/>
      <x:c r="I27" s="49" t="str"/>
      <x:c r="J27" s="49" t="str"/>
      <x:c r="K27" s="49" t="str"/>
      <x:c r="L27" s="50"/>
      <x:c r="M27" s="49" t="str"/>
    </x:row>
    <x:row r="28" ht="28" customHeight="1">
      <x:c r="A28" s="50"/>
      <x:c r="B28" s="49" t="str"/>
      <x:c r="C28" s="49"/>
      <x:c r="D28" s="49"/>
      <x:c r="E28" s="49"/>
      <x:c r="F28" s="49" t="str"/>
      <x:c r="G28" s="49" t="str"/>
      <x:c r="H28" s="49" t="str"/>
      <x:c r="I28" s="49" t="str"/>
      <x:c r="J28" s="49" t="str"/>
      <x:c r="K28" s="49" t="str"/>
      <x:c r="L28" s="50"/>
      <x:c r="M28" s="49" t="str"/>
    </x:row>
    <x:row r="29" ht="28" customHeight="1">
      <x:c r="A29" s="50"/>
      <x:c r="B29" s="49" t="str"/>
      <x:c r="C29" s="49"/>
      <x:c r="D29" s="49"/>
      <x:c r="E29" s="49"/>
      <x:c r="F29" s="49" t="str"/>
      <x:c r="G29" s="49" t="str"/>
      <x:c r="H29" s="49" t="str"/>
      <x:c r="I29" s="49" t="str"/>
      <x:c r="J29" s="49" t="str"/>
      <x:c r="K29" s="49" t="str"/>
      <x:c r="L29" s="50"/>
      <x:c r="M29" s="49" t="str"/>
    </x:row>
    <x:row r="30" ht="28" customHeight="1">
      <x:c r="A30" s="50"/>
      <x:c r="B30" s="49" t="str"/>
      <x:c r="C30" s="49"/>
      <x:c r="D30" s="49"/>
      <x:c r="E30" s="49"/>
      <x:c r="F30" s="49" t="str"/>
      <x:c r="G30" s="49" t="str"/>
      <x:c r="H30" s="49" t="str"/>
      <x:c r="I30" s="49" t="str"/>
      <x:c r="J30" s="49" t="str"/>
      <x:c r="K30" s="49" t="str"/>
      <x:c r="L30" s="50"/>
      <x:c r="M30" s="49" t="str"/>
    </x:row>
    <x:row r="31" ht="28" customHeight="1">
      <x:c r="A31" s="50"/>
      <x:c r="B31" s="49" t="str"/>
      <x:c r="C31" s="49"/>
      <x:c r="D31" s="49"/>
      <x:c r="E31" s="49"/>
      <x:c r="F31" s="49" t="str"/>
      <x:c r="G31" s="49" t="str"/>
      <x:c r="H31" s="49" t="str"/>
      <x:c r="I31" s="49" t="str"/>
      <x:c r="J31" s="49" t="str"/>
      <x:c r="K31" s="49" t="str"/>
      <x:c r="L31" s="50"/>
      <x:c r="M31" s="49" t="str"/>
    </x:row>
    <x:row r="32" ht="28" customHeight="1">
      <x:c r="A32" s="50"/>
      <x:c r="B32" s="49" t="str"/>
      <x:c r="C32" s="49"/>
      <x:c r="D32" s="49"/>
      <x:c r="E32" s="49"/>
      <x:c r="F32" s="49" t="str"/>
      <x:c r="G32" s="49" t="str"/>
      <x:c r="H32" s="49" t="str"/>
      <x:c r="I32" s="49" t="str"/>
      <x:c r="J32" s="49" t="str"/>
      <x:c r="K32" s="49" t="str"/>
      <x:c r="L32" s="50"/>
      <x:c r="M32" s="49" t="str"/>
    </x:row>
    <x:row r="33" ht="28" customHeight="1">
      <x:c r="A33" s="50"/>
      <x:c r="B33" s="49" t="str"/>
      <x:c r="C33" s="49"/>
      <x:c r="D33" s="49"/>
      <x:c r="E33" s="49"/>
      <x:c r="F33" s="49" t="str"/>
      <x:c r="G33" s="49" t="str"/>
      <x:c r="H33" s="49" t="str"/>
      <x:c r="I33" s="49" t="str"/>
      <x:c r="J33" s="49" t="str"/>
      <x:c r="K33" s="49" t="str"/>
      <x:c r="L33" s="50"/>
      <x:c r="M33" s="49" t="str"/>
    </x:row>
    <x:row r="34" ht="28" customHeight="1">
      <x:c r="A34" s="50"/>
      <x:c r="B34" s="49" t="str"/>
      <x:c r="C34" s="49"/>
      <x:c r="D34" s="49"/>
      <x:c r="E34" s="49"/>
      <x:c r="F34" s="49" t="str"/>
      <x:c r="G34" s="49" t="str"/>
      <x:c r="H34" s="49" t="str"/>
      <x:c r="I34" s="49" t="str"/>
      <x:c r="J34" s="49" t="str"/>
      <x:c r="K34" s="49" t="str"/>
      <x:c r="L34" s="50"/>
      <x:c r="M34" s="49" t="str"/>
    </x:row>
  </x:sheetData>
  <x:conditionalFormatting sqref="M5:M34">
    <x:cfRule type="containsText" dxfId="4" priority="1" operator="containsText" text="Yes"/>
    <x:cfRule type="containsText" dxfId="5" priority="2" operator="containsText" text="No"/>
  </x:conditionalFormatting>
  <x:dataValidations count="3">
    <x:dataValidation type="whole" operator="between" sqref="D5:D34">
      <x:formula1>0</x:formula1>
      <x:formula2>4</x:formula2>
    </x:dataValidation>
    <x:dataValidation type="list" sqref="F5:I34">
      <x:formula1>"Accepted,TLE,WA,Not attempted,Upsolved"</x:formula1>
    </x:dataValidation>
    <x:dataValidation type="list" sqref="M5:M3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eaa104d0eb4bee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68" hidden="0" customWidth="1"/>
    <x:col min="4" max="4" width="90" hidden="0" customWidth="1"/>
  </x:cols>
  <x:sheetData>
    <x:row r="2">
      <x:c r="A2" s="2" t="str">
        <x:v>Research sources and interpretation</x:v>
      </x:c>
    </x:row>
    <x:row r="4">
      <x:c r="A4" s="25" t="str">
        <x:v>Source</x:v>
      </x:c>
      <x:c r="B4" s="26" t="str">
        <x:v>Published / updated</x:v>
      </x:c>
      <x:c r="C4" s="26" t="str">
        <x:v>Evidence used</x:v>
      </x:c>
      <x:c r="D4" s="27" t="str">
        <x:v>URL</x:v>
      </x:c>
    </x:row>
    <x:row r="5" ht="52" customHeight="1">
      <x:c r="A5" s="55" t="str">
        <x:v>CodeSignal General Coding Assessment</x:v>
      </x:c>
      <x:c r="B5" s="34" t="str">
        <x:v>Updated Aug 19, 2026</x:v>
      </x:c>
      <x:c r="C5" s="34" t="str">
        <x:v>4 questions in 70 minutes; supports timed mixed mocks</x:v>
      </x:c>
      <x:c r="D5" s="56" t="str">
        <x:v>https://support.codesignal.com/hc/en-us/articles/360040370853-What-should-I-expect-when-I-take-the-General-Coding-Assessment-GCA-and-how-is-it-structured</x:v>
      </x:c>
    </x:row>
    <x:row r="6" ht="52" customHeight="1">
      <x:c r="A6" s="55" t="str">
        <x:v>Amazon SDE interview report</x:v>
      </x:c>
      <x:c r="B6" s="34" t="str">
        <x:v>Aug 5, 2025</x:v>
      </x:c>
      <x:c r="C6" s="34" t="str">
        <x:v>OA included zigzag tree traversal and topological sort / cycle detection</x:v>
      </x:c>
      <x:c r="D6" s="56" t="str">
        <x:v>https://www.geeksforgeeks.org/interview-experiences/amazon-sde-2025-interview/</x:v>
      </x:c>
    </x:row>
    <x:row r="7" ht="52" customHeight="1">
      <x:c r="A7" s="55" t="str">
        <x:v>Microsoft SDE-II interview report</x:v>
      </x:c>
      <x:c r="B7" s="34" t="str">
        <x:v>Oct 22, 2025</x:v>
      </x:c>
      <x:c r="C7" s="34" t="str">
        <x:v>OA reported Dijkstra/DFS and combinatorics; interviews included Rotting Oranges and BST validation</x:v>
      </x:c>
      <x:c r="D7" s="56" t="str">
        <x:v>https://www.geeksforgeeks.org/interview-experiences/microsoft-interview-experience-for-sde-ii-level-61/</x:v>
      </x:c>
    </x:row>
    <x:row r="8" ht="52" customHeight="1">
      <x:c r="A8" s="55" t="str">
        <x:v>Google SDE-2 interview report</x:v>
      </x:c>
      <x:c r="B8" s="34" t="str">
        <x:v>Feb 21, 2026 update</x:v>
      </x:c>
      <x:c r="C8" s="34" t="str">
        <x:v>Reported emphasis on two pointers, trees, graphs, DP, clean implementation</x:v>
      </x:c>
      <x:c r="D8" s="56" t="str">
        <x:v>https://www.geeksforgeeks.org/interview-experiences/google-interview-experience-for-software-engineer-sde-2-2025/</x:v>
      </x:c>
    </x:row>
    <x:row r="9" ht="52" customHeight="1">
      <x:c r="A9" s="55" t="str">
        <x:v>Atlassian campus interview report</x:v>
      </x:c>
      <x:c r="B9" s="34" t="str">
        <x:v>Jul 23, 2025 update</x:v>
      </x:c>
      <x:c r="C9" s="34" t="str">
        <x:v>OA included medium-hard questions and weighted job scheduling; interview used a trie suggestion system</x:v>
      </x:c>
      <x:c r="D9" s="56" t="str">
        <x:v>https://www.geeksforgeeks.org/interview-experiences/atlassian-interview-experience-for-full-time-software-engineer-bangalore-on-campus/</x:v>
      </x:c>
    </x:row>
    <x:row r="10" ht="52" customHeight="1">
      <x:c r="A10" s="55" t="str">
        <x:v>Adobe interview report</x:v>
      </x:c>
      <x:c r="B10" s="34" t="str">
        <x:v>Jul 23, 2025 update</x:v>
      </x:c>
      <x:c r="C10" s="34" t="str">
        <x:v>Reported LRU cache and trie implementation among coding/design questions</x:v>
      </x:c>
      <x:c r="D10" s="56" t="str">
        <x:v>https://www.geeksforgeeks.org/interview-experiences/adobe-interview-experience/</x:v>
      </x:c>
    </x:row>
    <x:row r="11" ht="52" customHeight="1">
      <x:c r="A11" s="55" t="str">
        <x:v>Walmart SDE-2 interview report</x:v>
      </x:c>
      <x:c r="B11" s="34" t="str">
        <x:v>Jul 23, 2025 update</x:v>
      </x:c>
      <x:c r="C11" s="34" t="str">
        <x:v>OA mixed CS fundamentals with easy-medium coding and a graph problem</x:v>
      </x:c>
      <x:c r="D11" s="56" t="str">
        <x:v>https://www.geeksforgeeks.org/interview-experiences/walmart-interview-experience-sde-2-full-time/</x:v>
      </x:c>
    </x:row>
    <x:row r="12" ht="52" customHeight="1">
      <x:c r="A12" s="57" t="str">
        <x:v>Goldman Sachs software engineer report</x:v>
      </x:c>
      <x:c r="B12" s="58" t="str">
        <x:v>Sep 5, 2025</x:v>
      </x:c>
      <x:c r="C12" s="58" t="str">
        <x:v>OA included string compression; interview included Trapping Rain Water</x:v>
      </x:c>
      <x:c r="D12" s="60" t="str">
        <x:v>https://www.geeksforgeeks.org/interview-experiences/goldman-sachs-interview-experience-2025-for-compliance-software-engineer/</x:v>
      </x:c>
    </x:row>
    <x:row r="15">
      <x:c r="A15" s="20" t="str">
        <x:v>Method</x:v>
      </x:c>
      <x:c r="B15" s="21" t="str"/>
      <x:c r="C15" s="21" t="str"/>
      <x:c r="D15" s="22" t="str"/>
    </x:row>
    <x:row r="16" ht="34" customHeight="1">
      <x:c r="A16" s="34" t="str">
        <x:v>The bank is a curated pattern curriculum, not a prediction that a company will repeat an exact question.</x:v>
      </x:c>
      <x:c r="B16" s="34" t="str"/>
      <x:c r="C16" s="34" t="str"/>
      <x:c r="D16" s="34" t="str"/>
    </x:row>
    <x:row r="17" ht="34" customHeight="1">
      <x:c r="A17" s="34" t="str">
        <x:v>Reported analogue labels are tied to the candidate reports above. Directional labels indicate broader pattern relevance and common tagging, not independently verified recurrence.</x:v>
      </x:c>
      <x:c r="B17" s="34" t="str"/>
      <x:c r="C17" s="34" t="str"/>
      <x:c r="D17" s="34" t="str"/>
    </x:row>
    <x:row r="18" ht="34" customHeight="1">
      <x:c r="A18" s="34" t="str">
        <x:v>Core favors recognition speed and implementation reliability. Depth adds common variations. Stretch contains expensive hard problems that should not displace OA mocks.</x:v>
      </x:c>
      <x:c r="B18" s="34" t="str"/>
      <x:c r="C18" s="34" t="str"/>
      <x:c r="D18" s="34" t="str"/>
    </x:row>
    <x:row r="19" ht="34" customHeight="1">
      <x:c r="A19" s="34" t="str">
        <x:v>Company reports vary by role, level, country, team, and hiring cycle. Use an upcoming employer's current instructions and platform practice test as the final authority.</x:v>
      </x:c>
      <x:c r="B19" s="34" t="str"/>
      <x:c r="C19" s="34" t="str"/>
      <x:c r="D19" s="34" t="str"/>
    </x:row>
    <x:row r="20" ht="34" customHeight="1">
      <x:c r="A20" s="34" t="str">
        <x:v>Question links point to LeetCode problem pages. Availability can depend on account or regional access.</x:v>
      </x:c>
      <x:c r="B20" s="34" t="str"/>
      <x:c r="C20" s="34" t="str"/>
      <x:c r="D20" s="34" t="str"/>
    </x:row>
  </x:sheetData>
  <x:mergeCells>
    <x:mergeCell ref="A16:D16"/>
    <x:mergeCell ref="A17:D17"/>
    <x:mergeCell ref="A18:D18"/>
    <x:mergeCell ref="A19:D19"/>
    <x:mergeCell ref="A20:D20"/>
  </x:mergeCells>
  <x:pageMargins left="0.7" right="0.7" top="0.75" bottom="0.75" header="0.3" footer="0.3"/>
</x:worksheet>
</file>